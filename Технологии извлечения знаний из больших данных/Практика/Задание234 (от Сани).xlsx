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1835" activeTab="2"/>
  </bookViews>
  <sheets>
    <sheet name="Исходные данные" sheetId="1" r:id="rId1"/>
    <sheet name="Уравнения регрессии 1 ряд" sheetId="2" r:id="rId2"/>
    <sheet name="Уравнения регрессии 2 ряд" sheetId="3" r:id="rId3"/>
    <sheet name="Итог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8" i="4"/>
  <c r="D9" i="4"/>
  <c r="D10" i="4"/>
  <c r="D11" i="4"/>
  <c r="D12" i="4"/>
  <c r="D13" i="4"/>
  <c r="D14" i="4"/>
  <c r="D3" i="4"/>
  <c r="C4" i="4"/>
  <c r="C5" i="4"/>
  <c r="C6" i="4"/>
  <c r="C7" i="4"/>
  <c r="C8" i="4"/>
  <c r="C9" i="4"/>
  <c r="C10" i="4"/>
  <c r="C11" i="4"/>
  <c r="C12" i="4"/>
  <c r="C13" i="4"/>
  <c r="C14" i="4"/>
  <c r="C3" i="4"/>
  <c r="T2" i="3"/>
  <c r="J168" i="3"/>
  <c r="J169" i="3"/>
  <c r="J170" i="3"/>
  <c r="J171" i="3"/>
  <c r="J172" i="3"/>
  <c r="J179" i="3" s="1"/>
  <c r="J173" i="3"/>
  <c r="J174" i="3"/>
  <c r="K174" i="3" s="1"/>
  <c r="J175" i="3"/>
  <c r="K175" i="3" s="1"/>
  <c r="J176" i="3"/>
  <c r="K176" i="3" s="1"/>
  <c r="J177" i="3"/>
  <c r="K177" i="3" s="1"/>
  <c r="J178" i="3"/>
  <c r="J167" i="3"/>
  <c r="J150" i="3"/>
  <c r="J151" i="3"/>
  <c r="J152" i="3"/>
  <c r="J153" i="3"/>
  <c r="J154" i="3"/>
  <c r="J161" i="3" s="1"/>
  <c r="J155" i="3"/>
  <c r="K155" i="3" s="1"/>
  <c r="J156" i="3"/>
  <c r="J157" i="3"/>
  <c r="J158" i="3"/>
  <c r="K158" i="3" s="1"/>
  <c r="J159" i="3"/>
  <c r="J160" i="3"/>
  <c r="K160" i="3" s="1"/>
  <c r="J149" i="3"/>
  <c r="J132" i="3"/>
  <c r="J133" i="3"/>
  <c r="J134" i="3"/>
  <c r="J135" i="3"/>
  <c r="J136" i="3"/>
  <c r="J137" i="3"/>
  <c r="J138" i="3"/>
  <c r="K138" i="3" s="1"/>
  <c r="J139" i="3"/>
  <c r="K139" i="3" s="1"/>
  <c r="J140" i="3"/>
  <c r="K140" i="3" s="1"/>
  <c r="J141" i="3"/>
  <c r="K141" i="3" s="1"/>
  <c r="J142" i="3"/>
  <c r="K142" i="3" s="1"/>
  <c r="J131" i="3"/>
  <c r="J114" i="3"/>
  <c r="J115" i="3"/>
  <c r="J116" i="3"/>
  <c r="J117" i="3"/>
  <c r="J118" i="3"/>
  <c r="K118" i="3" s="1"/>
  <c r="J119" i="3"/>
  <c r="J120" i="3"/>
  <c r="J121" i="3"/>
  <c r="J122" i="3"/>
  <c r="K122" i="3" s="1"/>
  <c r="J123" i="3"/>
  <c r="K123" i="3" s="1"/>
  <c r="J124" i="3"/>
  <c r="J113" i="3"/>
  <c r="B168" i="3"/>
  <c r="C168" i="3"/>
  <c r="D168" i="3"/>
  <c r="B169" i="3"/>
  <c r="C169" i="3"/>
  <c r="D169" i="3"/>
  <c r="D179" i="3" s="1"/>
  <c r="B170" i="3"/>
  <c r="B179" i="3" s="1"/>
  <c r="C170" i="3"/>
  <c r="G170" i="3" s="1"/>
  <c r="D170" i="3"/>
  <c r="F170" i="3" s="1"/>
  <c r="B171" i="3"/>
  <c r="K171" i="3" s="1"/>
  <c r="C171" i="3"/>
  <c r="G171" i="3" s="1"/>
  <c r="D171" i="3"/>
  <c r="F171" i="3" s="1"/>
  <c r="B172" i="3"/>
  <c r="C172" i="3"/>
  <c r="D172" i="3"/>
  <c r="B173" i="3"/>
  <c r="C173" i="3"/>
  <c r="D173" i="3"/>
  <c r="I173" i="3" s="1"/>
  <c r="B174" i="3"/>
  <c r="C174" i="3"/>
  <c r="D174" i="3"/>
  <c r="I174" i="3" s="1"/>
  <c r="B175" i="3"/>
  <c r="I175" i="3" s="1"/>
  <c r="C175" i="3"/>
  <c r="G175" i="3" s="1"/>
  <c r="D175" i="3"/>
  <c r="F175" i="3" s="1"/>
  <c r="B176" i="3"/>
  <c r="C176" i="3"/>
  <c r="D176" i="3"/>
  <c r="B177" i="3"/>
  <c r="C177" i="3"/>
  <c r="D177" i="3"/>
  <c r="G177" i="3" s="1"/>
  <c r="B178" i="3"/>
  <c r="C178" i="3"/>
  <c r="H178" i="3" s="1"/>
  <c r="D178" i="3"/>
  <c r="I178" i="3" s="1"/>
  <c r="B150" i="3"/>
  <c r="C150" i="3"/>
  <c r="D150" i="3"/>
  <c r="B151" i="3"/>
  <c r="C151" i="3"/>
  <c r="D151" i="3"/>
  <c r="B152" i="3"/>
  <c r="C152" i="3"/>
  <c r="G152" i="3" s="1"/>
  <c r="D152" i="3"/>
  <c r="F152" i="3" s="1"/>
  <c r="B153" i="3"/>
  <c r="N155" i="3" s="1"/>
  <c r="C153" i="3"/>
  <c r="G153" i="3" s="1"/>
  <c r="D153" i="3"/>
  <c r="F153" i="3" s="1"/>
  <c r="B154" i="3"/>
  <c r="C154" i="3"/>
  <c r="D154" i="3"/>
  <c r="B155" i="3"/>
  <c r="C155" i="3"/>
  <c r="D155" i="3"/>
  <c r="B156" i="3"/>
  <c r="C156" i="3"/>
  <c r="E156" i="3" s="1"/>
  <c r="D156" i="3"/>
  <c r="B157" i="3"/>
  <c r="C157" i="3"/>
  <c r="G157" i="3" s="1"/>
  <c r="D157" i="3"/>
  <c r="F157" i="3" s="1"/>
  <c r="B158" i="3"/>
  <c r="C158" i="3"/>
  <c r="D158" i="3"/>
  <c r="B159" i="3"/>
  <c r="C159" i="3"/>
  <c r="D159" i="3"/>
  <c r="I159" i="3" s="1"/>
  <c r="B160" i="3"/>
  <c r="C160" i="3"/>
  <c r="E160" i="3" s="1"/>
  <c r="D160" i="3"/>
  <c r="B132" i="3"/>
  <c r="C132" i="3"/>
  <c r="D132" i="3"/>
  <c r="B133" i="3"/>
  <c r="C133" i="3"/>
  <c r="D133" i="3"/>
  <c r="D143" i="3" s="1"/>
  <c r="O131" i="3" s="1"/>
  <c r="B134" i="3"/>
  <c r="N131" i="3" s="1"/>
  <c r="C134" i="3"/>
  <c r="E134" i="3" s="1"/>
  <c r="D134" i="3"/>
  <c r="F134" i="3" s="1"/>
  <c r="B135" i="3"/>
  <c r="K135" i="3" s="1"/>
  <c r="C135" i="3"/>
  <c r="G135" i="3" s="1"/>
  <c r="D135" i="3"/>
  <c r="F135" i="3" s="1"/>
  <c r="B136" i="3"/>
  <c r="C136" i="3"/>
  <c r="D136" i="3"/>
  <c r="B137" i="3"/>
  <c r="C137" i="3"/>
  <c r="D137" i="3"/>
  <c r="I137" i="3" s="1"/>
  <c r="B138" i="3"/>
  <c r="C138" i="3"/>
  <c r="D138" i="3"/>
  <c r="I138" i="3" s="1"/>
  <c r="B139" i="3"/>
  <c r="I139" i="3" s="1"/>
  <c r="C139" i="3"/>
  <c r="G139" i="3" s="1"/>
  <c r="D139" i="3"/>
  <c r="F139" i="3" s="1"/>
  <c r="B140" i="3"/>
  <c r="C140" i="3"/>
  <c r="D140" i="3"/>
  <c r="B141" i="3"/>
  <c r="C141" i="3"/>
  <c r="H141" i="3" s="1"/>
  <c r="D141" i="3"/>
  <c r="I141" i="3" s="1"/>
  <c r="B142" i="3"/>
  <c r="C142" i="3"/>
  <c r="D142" i="3"/>
  <c r="I142" i="3" s="1"/>
  <c r="B114" i="3"/>
  <c r="C114" i="3"/>
  <c r="D114" i="3"/>
  <c r="B115" i="3"/>
  <c r="C115" i="3"/>
  <c r="D115" i="3"/>
  <c r="B116" i="3"/>
  <c r="C116" i="3"/>
  <c r="E116" i="3" s="1"/>
  <c r="D116" i="3"/>
  <c r="F116" i="3" s="1"/>
  <c r="B117" i="3"/>
  <c r="H117" i="3" s="1"/>
  <c r="C117" i="3"/>
  <c r="E117" i="3" s="1"/>
  <c r="D117" i="3"/>
  <c r="B118" i="3"/>
  <c r="C118" i="3"/>
  <c r="D118" i="3"/>
  <c r="B119" i="3"/>
  <c r="C119" i="3"/>
  <c r="D119" i="3"/>
  <c r="B120" i="3"/>
  <c r="C120" i="3"/>
  <c r="D120" i="3"/>
  <c r="B121" i="3"/>
  <c r="C121" i="3"/>
  <c r="D121" i="3"/>
  <c r="F121" i="3" s="1"/>
  <c r="B122" i="3"/>
  <c r="C122" i="3"/>
  <c r="D122" i="3"/>
  <c r="B123" i="3"/>
  <c r="C123" i="3"/>
  <c r="D123" i="3"/>
  <c r="B124" i="3"/>
  <c r="C124" i="3"/>
  <c r="D124" i="3"/>
  <c r="F124" i="3" s="1"/>
  <c r="C96" i="3"/>
  <c r="D96" i="3"/>
  <c r="C97" i="3"/>
  <c r="D97" i="3"/>
  <c r="C98" i="3"/>
  <c r="D98" i="3"/>
  <c r="C99" i="3"/>
  <c r="E99" i="3" s="1"/>
  <c r="D99" i="3"/>
  <c r="I99" i="3" s="1"/>
  <c r="C100" i="3"/>
  <c r="E100" i="3" s="1"/>
  <c r="D100" i="3"/>
  <c r="F100" i="3" s="1"/>
  <c r="C101" i="3"/>
  <c r="E101" i="3" s="1"/>
  <c r="D101" i="3"/>
  <c r="F101" i="3" s="1"/>
  <c r="C102" i="3"/>
  <c r="D102" i="3"/>
  <c r="C103" i="3"/>
  <c r="D103" i="3"/>
  <c r="C104" i="3"/>
  <c r="D104" i="3"/>
  <c r="C105" i="3"/>
  <c r="G105" i="3" s="1"/>
  <c r="D105" i="3"/>
  <c r="F105" i="3" s="1"/>
  <c r="C106" i="3"/>
  <c r="D106" i="3"/>
  <c r="C78" i="3"/>
  <c r="D78" i="3"/>
  <c r="C79" i="3"/>
  <c r="D79" i="3"/>
  <c r="C80" i="3"/>
  <c r="D80" i="3"/>
  <c r="C81" i="3"/>
  <c r="D81" i="3"/>
  <c r="F81" i="3" s="1"/>
  <c r="C82" i="3"/>
  <c r="G82" i="3" s="1"/>
  <c r="D82" i="3"/>
  <c r="I82" i="3" s="1"/>
  <c r="C83" i="3"/>
  <c r="D83" i="3"/>
  <c r="I83" i="3" s="1"/>
  <c r="C84" i="3"/>
  <c r="D84" i="3"/>
  <c r="C85" i="3"/>
  <c r="D85" i="3"/>
  <c r="C86" i="3"/>
  <c r="D86" i="3"/>
  <c r="F86" i="3" s="1"/>
  <c r="C87" i="3"/>
  <c r="D87" i="3"/>
  <c r="C88" i="3"/>
  <c r="H88" i="3" s="1"/>
  <c r="D88" i="3"/>
  <c r="I88" i="3" s="1"/>
  <c r="C70" i="3"/>
  <c r="D70" i="3"/>
  <c r="C60" i="3"/>
  <c r="D60" i="3"/>
  <c r="C61" i="3"/>
  <c r="D61" i="3"/>
  <c r="C62" i="3"/>
  <c r="D62" i="3"/>
  <c r="C63" i="3"/>
  <c r="D63" i="3"/>
  <c r="C64" i="3"/>
  <c r="D64" i="3"/>
  <c r="C65" i="3"/>
  <c r="E65" i="3" s="1"/>
  <c r="D65" i="3"/>
  <c r="F65" i="3" s="1"/>
  <c r="C66" i="3"/>
  <c r="D66" i="3"/>
  <c r="C67" i="3"/>
  <c r="D67" i="3"/>
  <c r="C68" i="3"/>
  <c r="D68" i="3"/>
  <c r="C69" i="3"/>
  <c r="D69" i="3"/>
  <c r="F69" i="3" s="1"/>
  <c r="C42" i="3"/>
  <c r="D42" i="3"/>
  <c r="C43" i="3"/>
  <c r="D43" i="3"/>
  <c r="C44" i="3"/>
  <c r="D44" i="3"/>
  <c r="C45" i="3"/>
  <c r="D45" i="3"/>
  <c r="C46" i="3"/>
  <c r="D46" i="3"/>
  <c r="D53" i="3" s="1"/>
  <c r="C47" i="3"/>
  <c r="H47" i="3" s="1"/>
  <c r="D47" i="3"/>
  <c r="I47" i="3" s="1"/>
  <c r="C48" i="3"/>
  <c r="D48" i="3"/>
  <c r="C49" i="3"/>
  <c r="D49" i="3"/>
  <c r="C50" i="3"/>
  <c r="D50" i="3"/>
  <c r="C51" i="3"/>
  <c r="D51" i="3"/>
  <c r="C52" i="3"/>
  <c r="D52" i="3"/>
  <c r="I52" i="3" s="1"/>
  <c r="C24" i="3"/>
  <c r="D24" i="3"/>
  <c r="C25" i="3"/>
  <c r="D25" i="3"/>
  <c r="C26" i="3"/>
  <c r="D26" i="3"/>
  <c r="C27" i="3"/>
  <c r="D27" i="3"/>
  <c r="C28" i="3"/>
  <c r="E28" i="3" s="1"/>
  <c r="D28" i="3"/>
  <c r="F28" i="3" s="1"/>
  <c r="C29" i="3"/>
  <c r="E29" i="3" s="1"/>
  <c r="D29" i="3"/>
  <c r="F29" i="3" s="1"/>
  <c r="C30" i="3"/>
  <c r="D30" i="3"/>
  <c r="C31" i="3"/>
  <c r="D31" i="3"/>
  <c r="C32" i="3"/>
  <c r="D32" i="3"/>
  <c r="C33" i="3"/>
  <c r="D33" i="3"/>
  <c r="C34" i="3"/>
  <c r="D34" i="3"/>
  <c r="C6" i="3"/>
  <c r="D6" i="3"/>
  <c r="C7" i="3"/>
  <c r="D7" i="3"/>
  <c r="C8" i="3"/>
  <c r="D8" i="3"/>
  <c r="C9" i="3"/>
  <c r="D9" i="3"/>
  <c r="C10" i="3"/>
  <c r="D10" i="3"/>
  <c r="I10" i="3" s="1"/>
  <c r="C11" i="3"/>
  <c r="D11" i="3"/>
  <c r="F11" i="3" s="1"/>
  <c r="C12" i="3"/>
  <c r="D12" i="3"/>
  <c r="C13" i="3"/>
  <c r="D13" i="3"/>
  <c r="C14" i="3"/>
  <c r="D14" i="3"/>
  <c r="C15" i="3"/>
  <c r="D15" i="3"/>
  <c r="C16" i="3"/>
  <c r="D16" i="3"/>
  <c r="I16" i="3" s="1"/>
  <c r="D149" i="3"/>
  <c r="D167" i="3"/>
  <c r="C167" i="3"/>
  <c r="B167" i="3"/>
  <c r="C149" i="3"/>
  <c r="B149" i="3"/>
  <c r="D131" i="3"/>
  <c r="C131" i="3"/>
  <c r="B131" i="3"/>
  <c r="B113" i="3"/>
  <c r="D113" i="3"/>
  <c r="C113" i="3"/>
  <c r="D95" i="3"/>
  <c r="C95" i="3"/>
  <c r="D77" i="3"/>
  <c r="C77" i="3"/>
  <c r="D59" i="3"/>
  <c r="C59" i="3"/>
  <c r="D41" i="3"/>
  <c r="C41" i="3"/>
  <c r="D23" i="3"/>
  <c r="C23" i="3"/>
  <c r="D5" i="3"/>
  <c r="C5" i="3"/>
  <c r="F178" i="3"/>
  <c r="E178" i="3"/>
  <c r="I177" i="3"/>
  <c r="H177" i="3"/>
  <c r="E177" i="3"/>
  <c r="I176" i="3"/>
  <c r="H176" i="3"/>
  <c r="G176" i="3"/>
  <c r="F176" i="3"/>
  <c r="E176" i="3"/>
  <c r="H174" i="3"/>
  <c r="G174" i="3"/>
  <c r="F174" i="3"/>
  <c r="E174" i="3"/>
  <c r="N173" i="3"/>
  <c r="K173" i="3"/>
  <c r="H173" i="3"/>
  <c r="E173" i="3"/>
  <c r="K172" i="3"/>
  <c r="I172" i="3"/>
  <c r="H172" i="3"/>
  <c r="G172" i="3"/>
  <c r="F172" i="3"/>
  <c r="E172" i="3"/>
  <c r="N170" i="3"/>
  <c r="K170" i="3"/>
  <c r="I170" i="3"/>
  <c r="H170" i="3"/>
  <c r="K169" i="3"/>
  <c r="I169" i="3"/>
  <c r="H169" i="3"/>
  <c r="G169" i="3"/>
  <c r="F169" i="3"/>
  <c r="E169" i="3"/>
  <c r="K168" i="3"/>
  <c r="I168" i="3"/>
  <c r="H168" i="3"/>
  <c r="G168" i="3"/>
  <c r="F168" i="3"/>
  <c r="E168" i="3"/>
  <c r="K167" i="3"/>
  <c r="I167" i="3"/>
  <c r="H167" i="3"/>
  <c r="G167" i="3"/>
  <c r="F167" i="3"/>
  <c r="E167" i="3"/>
  <c r="I160" i="3"/>
  <c r="H160" i="3"/>
  <c r="G160" i="3"/>
  <c r="F160" i="3"/>
  <c r="K159" i="3"/>
  <c r="H159" i="3"/>
  <c r="G159" i="3"/>
  <c r="F159" i="3"/>
  <c r="E159" i="3"/>
  <c r="I158" i="3"/>
  <c r="H158" i="3"/>
  <c r="G158" i="3"/>
  <c r="F158" i="3"/>
  <c r="E158" i="3"/>
  <c r="K156" i="3"/>
  <c r="I156" i="3"/>
  <c r="H156" i="3"/>
  <c r="G156" i="3"/>
  <c r="F156" i="3"/>
  <c r="I155" i="3"/>
  <c r="H155" i="3"/>
  <c r="G155" i="3"/>
  <c r="F155" i="3"/>
  <c r="E155" i="3"/>
  <c r="K154" i="3"/>
  <c r="I154" i="3"/>
  <c r="H154" i="3"/>
  <c r="G154" i="3"/>
  <c r="F154" i="3"/>
  <c r="E154" i="3"/>
  <c r="N152" i="3"/>
  <c r="K152" i="3"/>
  <c r="I152" i="3"/>
  <c r="H152" i="3"/>
  <c r="K151" i="3"/>
  <c r="I151" i="3"/>
  <c r="H151" i="3"/>
  <c r="G151" i="3"/>
  <c r="F151" i="3"/>
  <c r="E151" i="3"/>
  <c r="K150" i="3"/>
  <c r="I150" i="3"/>
  <c r="H150" i="3"/>
  <c r="G150" i="3"/>
  <c r="F150" i="3"/>
  <c r="E150" i="3"/>
  <c r="K149" i="3"/>
  <c r="I149" i="3"/>
  <c r="H149" i="3"/>
  <c r="G149" i="3"/>
  <c r="F149" i="3"/>
  <c r="E149" i="3"/>
  <c r="J143" i="3"/>
  <c r="H142" i="3"/>
  <c r="G142" i="3"/>
  <c r="E142" i="3"/>
  <c r="E141" i="3"/>
  <c r="I140" i="3"/>
  <c r="H140" i="3"/>
  <c r="G140" i="3"/>
  <c r="F140" i="3"/>
  <c r="E140" i="3"/>
  <c r="H138" i="3"/>
  <c r="G138" i="3"/>
  <c r="E138" i="3"/>
  <c r="N137" i="3"/>
  <c r="K137" i="3"/>
  <c r="H137" i="3"/>
  <c r="E137" i="3"/>
  <c r="K136" i="3"/>
  <c r="I136" i="3"/>
  <c r="H136" i="3"/>
  <c r="G136" i="3"/>
  <c r="F136" i="3"/>
  <c r="E136" i="3"/>
  <c r="N134" i="3"/>
  <c r="K134" i="3"/>
  <c r="H134" i="3"/>
  <c r="G134" i="3"/>
  <c r="K133" i="3"/>
  <c r="H133" i="3"/>
  <c r="G133" i="3"/>
  <c r="F133" i="3"/>
  <c r="E133" i="3"/>
  <c r="K132" i="3"/>
  <c r="I132" i="3"/>
  <c r="H132" i="3"/>
  <c r="G132" i="3"/>
  <c r="F132" i="3"/>
  <c r="E132" i="3"/>
  <c r="K131" i="3"/>
  <c r="I131" i="3"/>
  <c r="H131" i="3"/>
  <c r="G131" i="3"/>
  <c r="F131" i="3"/>
  <c r="E131" i="3"/>
  <c r="F123" i="3"/>
  <c r="F122" i="3"/>
  <c r="G122" i="3"/>
  <c r="I122" i="3"/>
  <c r="K121" i="3"/>
  <c r="F120" i="3"/>
  <c r="K120" i="3"/>
  <c r="F119" i="3"/>
  <c r="K119" i="3"/>
  <c r="I118" i="3"/>
  <c r="K116" i="3"/>
  <c r="I116" i="3"/>
  <c r="H116" i="3"/>
  <c r="G116" i="3"/>
  <c r="K115" i="3"/>
  <c r="I115" i="3"/>
  <c r="H115" i="3"/>
  <c r="G115" i="3"/>
  <c r="F115" i="3"/>
  <c r="E115" i="3"/>
  <c r="K114" i="3"/>
  <c r="I114" i="3"/>
  <c r="H114" i="3"/>
  <c r="G114" i="3"/>
  <c r="E114" i="3"/>
  <c r="F114" i="3"/>
  <c r="F113" i="3"/>
  <c r="G113" i="3"/>
  <c r="I113" i="3"/>
  <c r="E106" i="3"/>
  <c r="F106" i="3"/>
  <c r="G106" i="3"/>
  <c r="B106" i="3"/>
  <c r="B105" i="3"/>
  <c r="F104" i="3"/>
  <c r="G104" i="3"/>
  <c r="B104" i="3"/>
  <c r="I104" i="3" s="1"/>
  <c r="F103" i="3"/>
  <c r="G103" i="3"/>
  <c r="B103" i="3"/>
  <c r="I103" i="3" s="1"/>
  <c r="F102" i="3"/>
  <c r="G102" i="3"/>
  <c r="B102" i="3"/>
  <c r="B101" i="3"/>
  <c r="B100" i="3"/>
  <c r="H99" i="3"/>
  <c r="G99" i="3"/>
  <c r="F99" i="3"/>
  <c r="B99" i="3"/>
  <c r="I98" i="3"/>
  <c r="H98" i="3"/>
  <c r="G98" i="3"/>
  <c r="F98" i="3"/>
  <c r="E98" i="3"/>
  <c r="B98" i="3"/>
  <c r="I97" i="3"/>
  <c r="H97" i="3"/>
  <c r="G97" i="3"/>
  <c r="F97" i="3"/>
  <c r="E97" i="3"/>
  <c r="B97" i="3"/>
  <c r="I96" i="3"/>
  <c r="H96" i="3"/>
  <c r="F96" i="3"/>
  <c r="G96" i="3"/>
  <c r="B96" i="3"/>
  <c r="N95" i="3"/>
  <c r="F95" i="3"/>
  <c r="G95" i="3"/>
  <c r="B95" i="3"/>
  <c r="I95" i="3" s="1"/>
  <c r="B88" i="3"/>
  <c r="I87" i="3"/>
  <c r="H87" i="3"/>
  <c r="G87" i="3"/>
  <c r="F87" i="3"/>
  <c r="E87" i="3"/>
  <c r="B87" i="3"/>
  <c r="H86" i="3"/>
  <c r="G86" i="3"/>
  <c r="E86" i="3"/>
  <c r="I86" i="3"/>
  <c r="B86" i="3"/>
  <c r="I85" i="3"/>
  <c r="H85" i="3"/>
  <c r="G85" i="3"/>
  <c r="F85" i="3"/>
  <c r="E85" i="3"/>
  <c r="B85" i="3"/>
  <c r="I84" i="3"/>
  <c r="H84" i="3"/>
  <c r="G84" i="3"/>
  <c r="F84" i="3"/>
  <c r="E84" i="3"/>
  <c r="B84" i="3"/>
  <c r="H83" i="3"/>
  <c r="B83" i="3"/>
  <c r="B82" i="3"/>
  <c r="G81" i="3"/>
  <c r="B81" i="3"/>
  <c r="I81" i="3" s="1"/>
  <c r="F80" i="3"/>
  <c r="G80" i="3"/>
  <c r="B80" i="3"/>
  <c r="F79" i="3"/>
  <c r="G79" i="3"/>
  <c r="B79" i="3"/>
  <c r="E78" i="3"/>
  <c r="F78" i="3"/>
  <c r="G78" i="3"/>
  <c r="B78" i="3"/>
  <c r="H77" i="3"/>
  <c r="G77" i="3"/>
  <c r="F77" i="3"/>
  <c r="E77" i="3"/>
  <c r="C89" i="3"/>
  <c r="B77" i="3"/>
  <c r="B89" i="3" s="1"/>
  <c r="B71" i="3"/>
  <c r="P62" i="3" s="1"/>
  <c r="E70" i="3"/>
  <c r="F70" i="3"/>
  <c r="G70" i="3"/>
  <c r="B70" i="3"/>
  <c r="G69" i="3"/>
  <c r="B69" i="3"/>
  <c r="F68" i="3"/>
  <c r="G68" i="3"/>
  <c r="B68" i="3"/>
  <c r="I68" i="3" s="1"/>
  <c r="F67" i="3"/>
  <c r="G67" i="3"/>
  <c r="B67" i="3"/>
  <c r="I67" i="3" s="1"/>
  <c r="F66" i="3"/>
  <c r="G66" i="3"/>
  <c r="B66" i="3"/>
  <c r="B65" i="3"/>
  <c r="F64" i="3"/>
  <c r="E64" i="3"/>
  <c r="H64" i="3"/>
  <c r="B64" i="3"/>
  <c r="H63" i="3"/>
  <c r="G63" i="3"/>
  <c r="F63" i="3"/>
  <c r="E63" i="3"/>
  <c r="I63" i="3"/>
  <c r="B63" i="3"/>
  <c r="I62" i="3"/>
  <c r="H62" i="3"/>
  <c r="G62" i="3"/>
  <c r="F62" i="3"/>
  <c r="E62" i="3"/>
  <c r="B62" i="3"/>
  <c r="I61" i="3"/>
  <c r="H61" i="3"/>
  <c r="G61" i="3"/>
  <c r="F61" i="3"/>
  <c r="E61" i="3"/>
  <c r="B61" i="3"/>
  <c r="I60" i="3"/>
  <c r="H60" i="3"/>
  <c r="G60" i="3"/>
  <c r="E60" i="3"/>
  <c r="B60" i="3"/>
  <c r="N59" i="3"/>
  <c r="F59" i="3"/>
  <c r="G59" i="3"/>
  <c r="B59" i="3"/>
  <c r="I59" i="3" s="1"/>
  <c r="H52" i="3"/>
  <c r="E52" i="3"/>
  <c r="B52" i="3"/>
  <c r="I51" i="3"/>
  <c r="H51" i="3"/>
  <c r="G51" i="3"/>
  <c r="F51" i="3"/>
  <c r="E51" i="3"/>
  <c r="B51" i="3"/>
  <c r="H50" i="3"/>
  <c r="G50" i="3"/>
  <c r="F50" i="3"/>
  <c r="E50" i="3"/>
  <c r="I50" i="3"/>
  <c r="B50" i="3"/>
  <c r="I49" i="3"/>
  <c r="H49" i="3"/>
  <c r="G49" i="3"/>
  <c r="F49" i="3"/>
  <c r="E49" i="3"/>
  <c r="B49" i="3"/>
  <c r="I48" i="3"/>
  <c r="H48" i="3"/>
  <c r="G48" i="3"/>
  <c r="F48" i="3"/>
  <c r="E48" i="3"/>
  <c r="B48" i="3"/>
  <c r="B47" i="3"/>
  <c r="E46" i="3"/>
  <c r="G46" i="3"/>
  <c r="B46" i="3"/>
  <c r="H46" i="3" s="1"/>
  <c r="F45" i="3"/>
  <c r="G45" i="3"/>
  <c r="B45" i="3"/>
  <c r="I45" i="3" s="1"/>
  <c r="F44" i="3"/>
  <c r="G44" i="3"/>
  <c r="B44" i="3"/>
  <c r="F43" i="3"/>
  <c r="G43" i="3"/>
  <c r="B43" i="3"/>
  <c r="E42" i="3"/>
  <c r="F42" i="3"/>
  <c r="G42" i="3"/>
  <c r="B42" i="3"/>
  <c r="H41" i="3"/>
  <c r="G41" i="3"/>
  <c r="F41" i="3"/>
  <c r="E41" i="3"/>
  <c r="C53" i="3"/>
  <c r="B41" i="3"/>
  <c r="B53" i="3" s="1"/>
  <c r="E34" i="3"/>
  <c r="F34" i="3"/>
  <c r="G34" i="3"/>
  <c r="B34" i="3"/>
  <c r="F33" i="3"/>
  <c r="G33" i="3"/>
  <c r="B33" i="3"/>
  <c r="I32" i="3"/>
  <c r="F32" i="3"/>
  <c r="G32" i="3"/>
  <c r="B32" i="3"/>
  <c r="H32" i="3" s="1"/>
  <c r="F31" i="3"/>
  <c r="G31" i="3"/>
  <c r="B31" i="3"/>
  <c r="I31" i="3" s="1"/>
  <c r="F30" i="3"/>
  <c r="G30" i="3"/>
  <c r="B30" i="3"/>
  <c r="B29" i="3"/>
  <c r="G28" i="3"/>
  <c r="B28" i="3"/>
  <c r="G27" i="3"/>
  <c r="F27" i="3"/>
  <c r="E27" i="3"/>
  <c r="I27" i="3"/>
  <c r="H27" i="3"/>
  <c r="B27" i="3"/>
  <c r="I26" i="3"/>
  <c r="H26" i="3"/>
  <c r="G26" i="3"/>
  <c r="F26" i="3"/>
  <c r="E26" i="3"/>
  <c r="B26" i="3"/>
  <c r="I25" i="3"/>
  <c r="H25" i="3"/>
  <c r="G25" i="3"/>
  <c r="F25" i="3"/>
  <c r="E25" i="3"/>
  <c r="B25" i="3"/>
  <c r="I24" i="3"/>
  <c r="H24" i="3"/>
  <c r="G24" i="3"/>
  <c r="E24" i="3"/>
  <c r="F24" i="3"/>
  <c r="B24" i="3"/>
  <c r="N23" i="3"/>
  <c r="F23" i="3"/>
  <c r="G23" i="3"/>
  <c r="B23" i="3"/>
  <c r="I23" i="3" s="1"/>
  <c r="H16" i="3"/>
  <c r="E16" i="3"/>
  <c r="B16" i="3"/>
  <c r="I15" i="3"/>
  <c r="H15" i="3"/>
  <c r="G15" i="3"/>
  <c r="F15" i="3"/>
  <c r="E15" i="3"/>
  <c r="B15" i="3"/>
  <c r="H14" i="3"/>
  <c r="G14" i="3"/>
  <c r="F14" i="3"/>
  <c r="E14" i="3"/>
  <c r="B14" i="3"/>
  <c r="I13" i="3"/>
  <c r="H13" i="3"/>
  <c r="G13" i="3"/>
  <c r="E13" i="3"/>
  <c r="F13" i="3"/>
  <c r="B13" i="3"/>
  <c r="I12" i="3"/>
  <c r="H12" i="3"/>
  <c r="G12" i="3"/>
  <c r="F12" i="3"/>
  <c r="E12" i="3"/>
  <c r="B12" i="3"/>
  <c r="H11" i="3"/>
  <c r="G11" i="3"/>
  <c r="E11" i="3"/>
  <c r="B11" i="3"/>
  <c r="H10" i="3"/>
  <c r="E10" i="3"/>
  <c r="B10" i="3"/>
  <c r="F9" i="3"/>
  <c r="G9" i="3"/>
  <c r="B9" i="3"/>
  <c r="I9" i="3" s="1"/>
  <c r="F8" i="3"/>
  <c r="G8" i="3"/>
  <c r="B8" i="3"/>
  <c r="F7" i="3"/>
  <c r="G7" i="3"/>
  <c r="B7" i="3"/>
  <c r="E6" i="3"/>
  <c r="F6" i="3"/>
  <c r="G6" i="3"/>
  <c r="B6" i="3"/>
  <c r="H5" i="3"/>
  <c r="G5" i="3"/>
  <c r="F5" i="3"/>
  <c r="C17" i="3"/>
  <c r="B5" i="3"/>
  <c r="B17" i="3" s="1"/>
  <c r="T2" i="2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K2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  <c r="J96" i="2"/>
  <c r="J97" i="2"/>
  <c r="J98" i="2"/>
  <c r="J99" i="2"/>
  <c r="J100" i="2"/>
  <c r="J101" i="2"/>
  <c r="J102" i="2"/>
  <c r="J103" i="2"/>
  <c r="J104" i="2"/>
  <c r="K104" i="2" s="1"/>
  <c r="J105" i="2"/>
  <c r="J106" i="2"/>
  <c r="J95" i="2"/>
  <c r="J78" i="2"/>
  <c r="J79" i="2"/>
  <c r="J80" i="2"/>
  <c r="J81" i="2"/>
  <c r="J82" i="2"/>
  <c r="J83" i="2"/>
  <c r="J84" i="2"/>
  <c r="K84" i="2" s="1"/>
  <c r="J85" i="2"/>
  <c r="J86" i="2"/>
  <c r="J87" i="2"/>
  <c r="J88" i="2"/>
  <c r="B96" i="2"/>
  <c r="C96" i="2"/>
  <c r="D96" i="2"/>
  <c r="B97" i="2"/>
  <c r="C97" i="2"/>
  <c r="D97" i="2"/>
  <c r="I97" i="2" s="1"/>
  <c r="B98" i="2"/>
  <c r="H98" i="2" s="1"/>
  <c r="C98" i="2"/>
  <c r="D98" i="2"/>
  <c r="F98" i="2" s="1"/>
  <c r="B99" i="2"/>
  <c r="C99" i="2"/>
  <c r="E99" i="2" s="1"/>
  <c r="D99" i="2"/>
  <c r="B100" i="2"/>
  <c r="C100" i="2"/>
  <c r="D100" i="2"/>
  <c r="B101" i="2"/>
  <c r="C101" i="2"/>
  <c r="E101" i="2" s="1"/>
  <c r="D101" i="2"/>
  <c r="F101" i="2" s="1"/>
  <c r="B102" i="2"/>
  <c r="C102" i="2"/>
  <c r="D102" i="2"/>
  <c r="B103" i="2"/>
  <c r="I103" i="2" s="1"/>
  <c r="C103" i="2"/>
  <c r="D103" i="2"/>
  <c r="F103" i="2" s="1"/>
  <c r="B104" i="2"/>
  <c r="C104" i="2"/>
  <c r="D104" i="2"/>
  <c r="B105" i="2"/>
  <c r="C105" i="2"/>
  <c r="D105" i="2"/>
  <c r="F105" i="2" s="1"/>
  <c r="B106" i="2"/>
  <c r="C106" i="2"/>
  <c r="D106" i="2"/>
  <c r="F106" i="2" s="1"/>
  <c r="B78" i="2"/>
  <c r="C78" i="2"/>
  <c r="H78" i="2" s="1"/>
  <c r="D78" i="2"/>
  <c r="B79" i="2"/>
  <c r="C79" i="2"/>
  <c r="D79" i="2"/>
  <c r="B80" i="2"/>
  <c r="C80" i="2"/>
  <c r="E80" i="2" s="1"/>
  <c r="D80" i="2"/>
  <c r="F80" i="2" s="1"/>
  <c r="B81" i="2"/>
  <c r="C81" i="2"/>
  <c r="E81" i="2" s="1"/>
  <c r="D81" i="2"/>
  <c r="B82" i="2"/>
  <c r="I82" i="2" s="1"/>
  <c r="C82" i="2"/>
  <c r="E82" i="2" s="1"/>
  <c r="D82" i="2"/>
  <c r="B83" i="2"/>
  <c r="K83" i="2" s="1"/>
  <c r="C83" i="2"/>
  <c r="D83" i="2"/>
  <c r="B84" i="2"/>
  <c r="C84" i="2"/>
  <c r="D84" i="2"/>
  <c r="F84" i="2" s="1"/>
  <c r="B85" i="2"/>
  <c r="C85" i="2"/>
  <c r="D85" i="2"/>
  <c r="F85" i="2" s="1"/>
  <c r="B86" i="2"/>
  <c r="C86" i="2"/>
  <c r="G86" i="2" s="1"/>
  <c r="D86" i="2"/>
  <c r="B87" i="2"/>
  <c r="K87" i="2" s="1"/>
  <c r="C87" i="2"/>
  <c r="D87" i="2"/>
  <c r="B88" i="2"/>
  <c r="C88" i="2"/>
  <c r="D88" i="2"/>
  <c r="B60" i="2"/>
  <c r="C60" i="2"/>
  <c r="D60" i="2"/>
  <c r="B61" i="2"/>
  <c r="C61" i="2"/>
  <c r="H61" i="2" s="1"/>
  <c r="D61" i="2"/>
  <c r="B62" i="2"/>
  <c r="C62" i="2"/>
  <c r="D62" i="2"/>
  <c r="B63" i="2"/>
  <c r="C63" i="2"/>
  <c r="E63" i="2" s="1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F67" i="2" s="1"/>
  <c r="B68" i="2"/>
  <c r="C68" i="2"/>
  <c r="D68" i="2"/>
  <c r="F68" i="2" s="1"/>
  <c r="B69" i="2"/>
  <c r="C69" i="2"/>
  <c r="D69" i="2"/>
  <c r="B70" i="2"/>
  <c r="C70" i="2"/>
  <c r="D70" i="2"/>
  <c r="B42" i="2"/>
  <c r="C42" i="2"/>
  <c r="H42" i="2" s="1"/>
  <c r="D42" i="2"/>
  <c r="I42" i="2" s="1"/>
  <c r="B43" i="2"/>
  <c r="C43" i="2"/>
  <c r="E43" i="2" s="1"/>
  <c r="D43" i="2"/>
  <c r="B44" i="2"/>
  <c r="C44" i="2"/>
  <c r="H44" i="2" s="1"/>
  <c r="D44" i="2"/>
  <c r="B45" i="2"/>
  <c r="C45" i="2"/>
  <c r="E45" i="2" s="1"/>
  <c r="D45" i="2"/>
  <c r="F45" i="2" s="1"/>
  <c r="B46" i="2"/>
  <c r="C46" i="2"/>
  <c r="E46" i="2" s="1"/>
  <c r="D46" i="2"/>
  <c r="I46" i="2" s="1"/>
  <c r="B47" i="2"/>
  <c r="C47" i="2"/>
  <c r="D47" i="2"/>
  <c r="B48" i="2"/>
  <c r="C48" i="2"/>
  <c r="D48" i="2"/>
  <c r="F48" i="2" s="1"/>
  <c r="B49" i="2"/>
  <c r="C49" i="2"/>
  <c r="D49" i="2"/>
  <c r="F49" i="2" s="1"/>
  <c r="B50" i="2"/>
  <c r="C50" i="2"/>
  <c r="D50" i="2"/>
  <c r="B51" i="2"/>
  <c r="C51" i="2"/>
  <c r="D51" i="2"/>
  <c r="F51" i="2" s="1"/>
  <c r="B52" i="2"/>
  <c r="C52" i="2"/>
  <c r="E52" i="2" s="1"/>
  <c r="D52" i="2"/>
  <c r="F52" i="2" s="1"/>
  <c r="B24" i="2"/>
  <c r="C24" i="2"/>
  <c r="D24" i="2"/>
  <c r="B25" i="2"/>
  <c r="C25" i="2"/>
  <c r="H25" i="2" s="1"/>
  <c r="D25" i="2"/>
  <c r="I25" i="2" s="1"/>
  <c r="B26" i="2"/>
  <c r="C26" i="2"/>
  <c r="E26" i="2" s="1"/>
  <c r="D26" i="2"/>
  <c r="I26" i="2" s="1"/>
  <c r="B27" i="2"/>
  <c r="C27" i="2"/>
  <c r="G27" i="2" s="1"/>
  <c r="D27" i="2"/>
  <c r="F27" i="2" s="1"/>
  <c r="B28" i="2"/>
  <c r="C28" i="2"/>
  <c r="D28" i="2"/>
  <c r="B29" i="2"/>
  <c r="C29" i="2"/>
  <c r="E29" i="2" s="1"/>
  <c r="D29" i="2"/>
  <c r="F29" i="2" s="1"/>
  <c r="B30" i="2"/>
  <c r="C30" i="2"/>
  <c r="D30" i="2"/>
  <c r="F30" i="2" s="1"/>
  <c r="B31" i="2"/>
  <c r="I31" i="2" s="1"/>
  <c r="C31" i="2"/>
  <c r="D31" i="2"/>
  <c r="F31" i="2" s="1"/>
  <c r="B32" i="2"/>
  <c r="C32" i="2"/>
  <c r="D32" i="2"/>
  <c r="B33" i="2"/>
  <c r="C33" i="2"/>
  <c r="D33" i="2"/>
  <c r="B34" i="2"/>
  <c r="C34" i="2"/>
  <c r="E34" i="2" s="1"/>
  <c r="D34" i="2"/>
  <c r="F34" i="2" s="1"/>
  <c r="D95" i="2"/>
  <c r="F95" i="2" s="1"/>
  <c r="C95" i="2"/>
  <c r="G95" i="2" s="1"/>
  <c r="B95" i="2"/>
  <c r="D77" i="2"/>
  <c r="C77" i="2"/>
  <c r="B77" i="2"/>
  <c r="D59" i="2"/>
  <c r="C59" i="2"/>
  <c r="G59" i="2" s="1"/>
  <c r="B59" i="2"/>
  <c r="I59" i="2" s="1"/>
  <c r="D41" i="2"/>
  <c r="G41" i="2" s="1"/>
  <c r="C41" i="2"/>
  <c r="B41" i="2"/>
  <c r="N41" i="2" s="1"/>
  <c r="D23" i="2"/>
  <c r="F23" i="2" s="1"/>
  <c r="C23" i="2"/>
  <c r="G23" i="2" s="1"/>
  <c r="B23" i="2"/>
  <c r="K105" i="2"/>
  <c r="F104" i="2"/>
  <c r="G104" i="2"/>
  <c r="I104" i="2"/>
  <c r="F102" i="2"/>
  <c r="K101" i="2"/>
  <c r="F100" i="2"/>
  <c r="I100" i="2"/>
  <c r="K100" i="2"/>
  <c r="K97" i="2"/>
  <c r="H97" i="2"/>
  <c r="G97" i="2"/>
  <c r="F97" i="2"/>
  <c r="E97" i="2"/>
  <c r="K96" i="2"/>
  <c r="I96" i="2"/>
  <c r="H96" i="2"/>
  <c r="G96" i="2"/>
  <c r="F96" i="2"/>
  <c r="E96" i="2"/>
  <c r="F88" i="2"/>
  <c r="F87" i="2"/>
  <c r="K86" i="2"/>
  <c r="F86" i="2"/>
  <c r="I86" i="2"/>
  <c r="E83" i="2"/>
  <c r="F83" i="2"/>
  <c r="F82" i="2"/>
  <c r="K82" i="2"/>
  <c r="K80" i="2"/>
  <c r="I80" i="2"/>
  <c r="H80" i="2"/>
  <c r="G80" i="2"/>
  <c r="K79" i="2"/>
  <c r="I79" i="2"/>
  <c r="H79" i="2"/>
  <c r="G79" i="2"/>
  <c r="F79" i="2"/>
  <c r="E79" i="2"/>
  <c r="K78" i="2"/>
  <c r="I78" i="2"/>
  <c r="F78" i="2"/>
  <c r="F77" i="2"/>
  <c r="G77" i="2"/>
  <c r="I77" i="2"/>
  <c r="F70" i="2"/>
  <c r="F69" i="2"/>
  <c r="I67" i="2"/>
  <c r="F66" i="2"/>
  <c r="F65" i="2"/>
  <c r="I64" i="2"/>
  <c r="H62" i="2"/>
  <c r="G62" i="2"/>
  <c r="F62" i="2"/>
  <c r="E62" i="2"/>
  <c r="F61" i="2"/>
  <c r="H60" i="2"/>
  <c r="F60" i="2"/>
  <c r="G60" i="2"/>
  <c r="F59" i="2"/>
  <c r="F50" i="2"/>
  <c r="G50" i="2"/>
  <c r="I50" i="2"/>
  <c r="E47" i="2"/>
  <c r="F47" i="2"/>
  <c r="F46" i="2"/>
  <c r="H45" i="2"/>
  <c r="I43" i="2"/>
  <c r="H43" i="2"/>
  <c r="G43" i="2"/>
  <c r="F43" i="2"/>
  <c r="G42" i="2"/>
  <c r="F41" i="2"/>
  <c r="I41" i="2"/>
  <c r="F33" i="2"/>
  <c r="F32" i="2"/>
  <c r="G32" i="2"/>
  <c r="I32" i="2"/>
  <c r="F28" i="2"/>
  <c r="E28" i="2"/>
  <c r="I28" i="2"/>
  <c r="H26" i="2"/>
  <c r="F26" i="2"/>
  <c r="F25" i="2"/>
  <c r="E25" i="2"/>
  <c r="I24" i="2"/>
  <c r="H24" i="2"/>
  <c r="F24" i="2"/>
  <c r="G24" i="2"/>
  <c r="I13" i="2"/>
  <c r="E9" i="2"/>
  <c r="F9" i="2"/>
  <c r="G9" i="2"/>
  <c r="E10" i="2"/>
  <c r="F10" i="2"/>
  <c r="H12" i="2"/>
  <c r="C6" i="2"/>
  <c r="E6" i="2" s="1"/>
  <c r="D6" i="2"/>
  <c r="F6" i="2" s="1"/>
  <c r="C7" i="2"/>
  <c r="E7" i="2" s="1"/>
  <c r="D7" i="2"/>
  <c r="F7" i="2" s="1"/>
  <c r="C8" i="2"/>
  <c r="E8" i="2" s="1"/>
  <c r="D8" i="2"/>
  <c r="F8" i="2" s="1"/>
  <c r="C9" i="2"/>
  <c r="D9" i="2"/>
  <c r="C10" i="2"/>
  <c r="D10" i="2"/>
  <c r="C11" i="2"/>
  <c r="E11" i="2" s="1"/>
  <c r="D11" i="2"/>
  <c r="F11" i="2" s="1"/>
  <c r="C12" i="2"/>
  <c r="E12" i="2" s="1"/>
  <c r="D12" i="2"/>
  <c r="I12" i="2" s="1"/>
  <c r="C13" i="2"/>
  <c r="E13" i="2" s="1"/>
  <c r="D13" i="2"/>
  <c r="F13" i="2" s="1"/>
  <c r="C14" i="2"/>
  <c r="E14" i="2" s="1"/>
  <c r="D14" i="2"/>
  <c r="F14" i="2" s="1"/>
  <c r="C15" i="2"/>
  <c r="G15" i="2" s="1"/>
  <c r="D15" i="2"/>
  <c r="F15" i="2" s="1"/>
  <c r="C16" i="2"/>
  <c r="E16" i="2" s="1"/>
  <c r="D16" i="2"/>
  <c r="F16" i="2" s="1"/>
  <c r="D5" i="2"/>
  <c r="F5" i="2" s="1"/>
  <c r="C5" i="2"/>
  <c r="E5" i="2" s="1"/>
  <c r="B6" i="2"/>
  <c r="H6" i="2" s="1"/>
  <c r="B7" i="2"/>
  <c r="I7" i="2" s="1"/>
  <c r="B8" i="2"/>
  <c r="B9" i="2"/>
  <c r="H9" i="2" s="1"/>
  <c r="B10" i="2"/>
  <c r="H10" i="2" s="1"/>
  <c r="B11" i="2"/>
  <c r="I11" i="2" s="1"/>
  <c r="B12" i="2"/>
  <c r="B13" i="2"/>
  <c r="B14" i="2"/>
  <c r="I14" i="2" s="1"/>
  <c r="B15" i="2"/>
  <c r="B16" i="2"/>
  <c r="I16" i="2" s="1"/>
  <c r="B5" i="2"/>
  <c r="K178" i="3" l="1"/>
  <c r="K157" i="3"/>
  <c r="K124" i="3"/>
  <c r="P164" i="3"/>
  <c r="P167" i="3"/>
  <c r="O167" i="3"/>
  <c r="N169" i="3"/>
  <c r="N175" i="3"/>
  <c r="E179" i="3"/>
  <c r="N165" i="3" s="1"/>
  <c r="I179" i="3"/>
  <c r="P172" i="3" s="1"/>
  <c r="G178" i="3"/>
  <c r="G179" i="3" s="1"/>
  <c r="K179" i="3"/>
  <c r="P178" i="3" s="1"/>
  <c r="E171" i="3"/>
  <c r="N167" i="3"/>
  <c r="F173" i="3"/>
  <c r="E175" i="3"/>
  <c r="H171" i="3"/>
  <c r="G173" i="3"/>
  <c r="E170" i="3"/>
  <c r="I171" i="3"/>
  <c r="F177" i="3"/>
  <c r="F179" i="3" s="1"/>
  <c r="C179" i="3"/>
  <c r="H175" i="3"/>
  <c r="H179" i="3" s="1"/>
  <c r="F161" i="3"/>
  <c r="G161" i="3"/>
  <c r="O154" i="3" s="1"/>
  <c r="E153" i="3"/>
  <c r="E157" i="3"/>
  <c r="B161" i="3"/>
  <c r="P146" i="3" s="1"/>
  <c r="I161" i="3"/>
  <c r="C161" i="3"/>
  <c r="O152" i="3" s="1"/>
  <c r="K161" i="3"/>
  <c r="P160" i="3" s="1"/>
  <c r="H153" i="3"/>
  <c r="H161" i="3" s="1"/>
  <c r="D161" i="3"/>
  <c r="O149" i="3" s="1"/>
  <c r="N149" i="3"/>
  <c r="I153" i="3"/>
  <c r="H157" i="3"/>
  <c r="E152" i="3"/>
  <c r="E161" i="3" s="1"/>
  <c r="K153" i="3"/>
  <c r="I157" i="3"/>
  <c r="I134" i="3"/>
  <c r="F138" i="3"/>
  <c r="F142" i="3"/>
  <c r="E135" i="3"/>
  <c r="E143" i="3" s="1"/>
  <c r="I143" i="3"/>
  <c r="P136" i="3" s="1"/>
  <c r="F137" i="3"/>
  <c r="F143" i="3" s="1"/>
  <c r="E139" i="3"/>
  <c r="B143" i="3"/>
  <c r="P128" i="3" s="1"/>
  <c r="K143" i="3"/>
  <c r="P142" i="3" s="1"/>
  <c r="I133" i="3"/>
  <c r="G137" i="3"/>
  <c r="F141" i="3"/>
  <c r="C143" i="3"/>
  <c r="H135" i="3"/>
  <c r="G141" i="3"/>
  <c r="G143" i="3" s="1"/>
  <c r="I135" i="3"/>
  <c r="H139" i="3"/>
  <c r="H143" i="3" s="1"/>
  <c r="I121" i="3"/>
  <c r="K117" i="3"/>
  <c r="H100" i="3"/>
  <c r="I100" i="3"/>
  <c r="G101" i="3"/>
  <c r="G83" i="3"/>
  <c r="D89" i="3"/>
  <c r="N85" i="3" s="1"/>
  <c r="F83" i="3"/>
  <c r="G88" i="3"/>
  <c r="F88" i="3"/>
  <c r="H82" i="3"/>
  <c r="F82" i="3"/>
  <c r="F89" i="3" s="1"/>
  <c r="G65" i="3"/>
  <c r="I64" i="3"/>
  <c r="G52" i="3"/>
  <c r="F46" i="3"/>
  <c r="I46" i="3"/>
  <c r="G47" i="3"/>
  <c r="F47" i="3"/>
  <c r="G29" i="3"/>
  <c r="I11" i="3"/>
  <c r="F16" i="3"/>
  <c r="G10" i="3"/>
  <c r="G16" i="3"/>
  <c r="G17" i="3" s="1"/>
  <c r="F10" i="3"/>
  <c r="F17" i="3" s="1"/>
  <c r="D17" i="3"/>
  <c r="N133" i="3"/>
  <c r="N139" i="3"/>
  <c r="G53" i="3"/>
  <c r="O42" i="3" s="1"/>
  <c r="P170" i="3"/>
  <c r="N164" i="3"/>
  <c r="O164" i="3"/>
  <c r="O173" i="3"/>
  <c r="P173" i="3"/>
  <c r="N172" i="3"/>
  <c r="O151" i="3"/>
  <c r="P157" i="3"/>
  <c r="O148" i="3"/>
  <c r="O147" i="3"/>
  <c r="O157" i="3"/>
  <c r="O150" i="3"/>
  <c r="P156" i="3"/>
  <c r="N148" i="3"/>
  <c r="P154" i="3"/>
  <c r="P151" i="3"/>
  <c r="P148" i="3"/>
  <c r="O155" i="3"/>
  <c r="N150" i="3"/>
  <c r="N138" i="3"/>
  <c r="N128" i="3"/>
  <c r="O128" i="3"/>
  <c r="O137" i="3"/>
  <c r="P137" i="3"/>
  <c r="N136" i="3"/>
  <c r="J125" i="3"/>
  <c r="K113" i="3"/>
  <c r="N113" i="3"/>
  <c r="F117" i="3"/>
  <c r="E118" i="3"/>
  <c r="B125" i="3"/>
  <c r="G117" i="3"/>
  <c r="F118" i="3"/>
  <c r="E119" i="3"/>
  <c r="E124" i="3"/>
  <c r="C125" i="3"/>
  <c r="G118" i="3"/>
  <c r="D125" i="3"/>
  <c r="I117" i="3"/>
  <c r="H118" i="3"/>
  <c r="G119" i="3"/>
  <c r="E120" i="3"/>
  <c r="E123" i="3"/>
  <c r="G124" i="3"/>
  <c r="N116" i="3"/>
  <c r="H119" i="3"/>
  <c r="E121" i="3"/>
  <c r="H124" i="3"/>
  <c r="E113" i="3"/>
  <c r="I119" i="3"/>
  <c r="G120" i="3"/>
  <c r="E122" i="3"/>
  <c r="G123" i="3"/>
  <c r="I124" i="3"/>
  <c r="H120" i="3"/>
  <c r="G121" i="3"/>
  <c r="H123" i="3"/>
  <c r="I120" i="3"/>
  <c r="H121" i="3"/>
  <c r="I123" i="3"/>
  <c r="H113" i="3"/>
  <c r="N119" i="3"/>
  <c r="H122" i="3"/>
  <c r="N6" i="3"/>
  <c r="N9" i="3"/>
  <c r="N12" i="3"/>
  <c r="O11" i="3"/>
  <c r="O8" i="3"/>
  <c r="N2" i="3"/>
  <c r="F35" i="3"/>
  <c r="N7" i="3"/>
  <c r="O5" i="3"/>
  <c r="N10" i="3"/>
  <c r="N13" i="3"/>
  <c r="P11" i="3"/>
  <c r="O2" i="3"/>
  <c r="P77" i="3"/>
  <c r="P80" i="3"/>
  <c r="P74" i="3"/>
  <c r="N78" i="3"/>
  <c r="N84" i="3"/>
  <c r="O83" i="3"/>
  <c r="O80" i="3"/>
  <c r="N81" i="3"/>
  <c r="N74" i="3"/>
  <c r="N79" i="3"/>
  <c r="O77" i="3"/>
  <c r="P83" i="3"/>
  <c r="N82" i="3"/>
  <c r="O74" i="3"/>
  <c r="G89" i="3"/>
  <c r="F107" i="3"/>
  <c r="P44" i="3"/>
  <c r="P41" i="3"/>
  <c r="P38" i="3"/>
  <c r="O46" i="3"/>
  <c r="G35" i="3"/>
  <c r="N42" i="3"/>
  <c r="N48" i="3"/>
  <c r="O47" i="3"/>
  <c r="O44" i="3"/>
  <c r="N45" i="3"/>
  <c r="N38" i="3"/>
  <c r="P5" i="3"/>
  <c r="P2" i="3"/>
  <c r="P8" i="3"/>
  <c r="N43" i="3"/>
  <c r="O41" i="3"/>
  <c r="N49" i="3"/>
  <c r="P47" i="3"/>
  <c r="N46" i="3"/>
  <c r="O38" i="3"/>
  <c r="B35" i="3"/>
  <c r="N8" i="3"/>
  <c r="N44" i="3"/>
  <c r="N80" i="3"/>
  <c r="E5" i="3"/>
  <c r="C35" i="3"/>
  <c r="C71" i="3"/>
  <c r="C107" i="3"/>
  <c r="B107" i="3"/>
  <c r="E7" i="3"/>
  <c r="N11" i="3"/>
  <c r="D35" i="3"/>
  <c r="E43" i="3"/>
  <c r="N47" i="3"/>
  <c r="P59" i="3"/>
  <c r="G64" i="3"/>
  <c r="G71" i="3" s="1"/>
  <c r="D71" i="3"/>
  <c r="E79" i="3"/>
  <c r="N83" i="3"/>
  <c r="G100" i="3"/>
  <c r="G107" i="3" s="1"/>
  <c r="D107" i="3"/>
  <c r="I5" i="3"/>
  <c r="E8" i="3"/>
  <c r="I14" i="3"/>
  <c r="H28" i="3"/>
  <c r="E30" i="3"/>
  <c r="E33" i="3"/>
  <c r="I41" i="3"/>
  <c r="E44" i="3"/>
  <c r="E66" i="3"/>
  <c r="E69" i="3"/>
  <c r="I77" i="3"/>
  <c r="E80" i="3"/>
  <c r="E102" i="3"/>
  <c r="E105" i="3"/>
  <c r="H6" i="3"/>
  <c r="N26" i="3"/>
  <c r="I28" i="3"/>
  <c r="H29" i="3"/>
  <c r="E31" i="3"/>
  <c r="H34" i="3"/>
  <c r="H42" i="3"/>
  <c r="N62" i="3"/>
  <c r="H65" i="3"/>
  <c r="E67" i="3"/>
  <c r="H70" i="3"/>
  <c r="H78" i="3"/>
  <c r="N98" i="3"/>
  <c r="H101" i="3"/>
  <c r="E103" i="3"/>
  <c r="H106" i="3"/>
  <c r="I6" i="3"/>
  <c r="H7" i="3"/>
  <c r="E9" i="3"/>
  <c r="E23" i="3"/>
  <c r="I29" i="3"/>
  <c r="E32" i="3"/>
  <c r="I34" i="3"/>
  <c r="I42" i="3"/>
  <c r="H43" i="3"/>
  <c r="E45" i="3"/>
  <c r="E59" i="3"/>
  <c r="I65" i="3"/>
  <c r="E68" i="3"/>
  <c r="I70" i="3"/>
  <c r="I78" i="3"/>
  <c r="H79" i="3"/>
  <c r="E81" i="3"/>
  <c r="E95" i="3"/>
  <c r="I101" i="3"/>
  <c r="E104" i="3"/>
  <c r="I106" i="3"/>
  <c r="N5" i="3"/>
  <c r="I7" i="3"/>
  <c r="H8" i="3"/>
  <c r="H30" i="3"/>
  <c r="H33" i="3"/>
  <c r="N41" i="3"/>
  <c r="I43" i="3"/>
  <c r="H44" i="3"/>
  <c r="P56" i="3"/>
  <c r="H66" i="3"/>
  <c r="H69" i="3"/>
  <c r="N77" i="3"/>
  <c r="I79" i="3"/>
  <c r="H80" i="3"/>
  <c r="E82" i="3"/>
  <c r="H102" i="3"/>
  <c r="H105" i="3"/>
  <c r="I8" i="3"/>
  <c r="I30" i="3"/>
  <c r="H31" i="3"/>
  <c r="I33" i="3"/>
  <c r="I44" i="3"/>
  <c r="E47" i="3"/>
  <c r="I66" i="3"/>
  <c r="H67" i="3"/>
  <c r="I69" i="3"/>
  <c r="I80" i="3"/>
  <c r="E83" i="3"/>
  <c r="E88" i="3"/>
  <c r="E96" i="3"/>
  <c r="I102" i="3"/>
  <c r="I107" i="3" s="1"/>
  <c r="H103" i="3"/>
  <c r="I105" i="3"/>
  <c r="H9" i="3"/>
  <c r="H23" i="3"/>
  <c r="N29" i="3"/>
  <c r="H45" i="3"/>
  <c r="F52" i="3"/>
  <c r="H59" i="3"/>
  <c r="F60" i="3"/>
  <c r="F71" i="3" s="1"/>
  <c r="N65" i="3"/>
  <c r="H68" i="3"/>
  <c r="H81" i="3"/>
  <c r="H95" i="3"/>
  <c r="H107" i="3" s="1"/>
  <c r="N101" i="3"/>
  <c r="H104" i="3"/>
  <c r="K106" i="2"/>
  <c r="K102" i="2"/>
  <c r="K85" i="2"/>
  <c r="F12" i="2"/>
  <c r="G78" i="2"/>
  <c r="H99" i="2"/>
  <c r="F17" i="2"/>
  <c r="H8" i="2"/>
  <c r="I10" i="2"/>
  <c r="H27" i="2"/>
  <c r="E61" i="2"/>
  <c r="G98" i="2"/>
  <c r="I9" i="2"/>
  <c r="B35" i="2"/>
  <c r="P26" i="2" s="1"/>
  <c r="I68" i="2"/>
  <c r="N77" i="2"/>
  <c r="I8" i="2"/>
  <c r="E44" i="2"/>
  <c r="G61" i="2"/>
  <c r="K103" i="2"/>
  <c r="N5" i="2"/>
  <c r="G5" i="2"/>
  <c r="G68" i="2"/>
  <c r="I95" i="2"/>
  <c r="H16" i="2"/>
  <c r="H5" i="2"/>
  <c r="I6" i="2"/>
  <c r="G25" i="2"/>
  <c r="F42" i="2"/>
  <c r="F53" i="2" s="1"/>
  <c r="I61" i="2"/>
  <c r="H63" i="2"/>
  <c r="H15" i="2"/>
  <c r="G16" i="2"/>
  <c r="I5" i="2"/>
  <c r="I23" i="2"/>
  <c r="G10" i="2"/>
  <c r="I98" i="2"/>
  <c r="E15" i="2"/>
  <c r="I15" i="2"/>
  <c r="K98" i="2"/>
  <c r="I49" i="2"/>
  <c r="N23" i="2"/>
  <c r="K99" i="2"/>
  <c r="I44" i="2"/>
  <c r="E98" i="2"/>
  <c r="K81" i="2"/>
  <c r="I85" i="2"/>
  <c r="H81" i="2"/>
  <c r="I60" i="2"/>
  <c r="I62" i="2"/>
  <c r="F44" i="2"/>
  <c r="G44" i="2"/>
  <c r="G45" i="2"/>
  <c r="G26" i="2"/>
  <c r="E27" i="2"/>
  <c r="F35" i="2"/>
  <c r="J107" i="2"/>
  <c r="K95" i="2"/>
  <c r="N95" i="2"/>
  <c r="F99" i="2"/>
  <c r="F107" i="2" s="1"/>
  <c r="E100" i="2"/>
  <c r="B107" i="2"/>
  <c r="G99" i="2"/>
  <c r="E106" i="2"/>
  <c r="C107" i="2"/>
  <c r="G100" i="2"/>
  <c r="D107" i="2"/>
  <c r="I99" i="2"/>
  <c r="H100" i="2"/>
  <c r="G101" i="2"/>
  <c r="E102" i="2"/>
  <c r="E105" i="2"/>
  <c r="G106" i="2"/>
  <c r="N98" i="2"/>
  <c r="H101" i="2"/>
  <c r="E103" i="2"/>
  <c r="H106" i="2"/>
  <c r="E95" i="2"/>
  <c r="I101" i="2"/>
  <c r="G102" i="2"/>
  <c r="E104" i="2"/>
  <c r="G105" i="2"/>
  <c r="I106" i="2"/>
  <c r="H102" i="2"/>
  <c r="G103" i="2"/>
  <c r="H105" i="2"/>
  <c r="I102" i="2"/>
  <c r="H103" i="2"/>
  <c r="I105" i="2"/>
  <c r="H95" i="2"/>
  <c r="N101" i="2"/>
  <c r="H104" i="2"/>
  <c r="K88" i="2"/>
  <c r="G81" i="2"/>
  <c r="E88" i="2"/>
  <c r="C89" i="2"/>
  <c r="F81" i="2"/>
  <c r="F89" i="2" s="1"/>
  <c r="G82" i="2"/>
  <c r="D89" i="2"/>
  <c r="B89" i="2"/>
  <c r="I81" i="2"/>
  <c r="H82" i="2"/>
  <c r="G83" i="2"/>
  <c r="E84" i="2"/>
  <c r="E87" i="2"/>
  <c r="G88" i="2"/>
  <c r="N80" i="2"/>
  <c r="H83" i="2"/>
  <c r="E85" i="2"/>
  <c r="H88" i="2"/>
  <c r="E77" i="2"/>
  <c r="I83" i="2"/>
  <c r="G84" i="2"/>
  <c r="E86" i="2"/>
  <c r="G87" i="2"/>
  <c r="I88" i="2"/>
  <c r="H84" i="2"/>
  <c r="G85" i="2"/>
  <c r="H87" i="2"/>
  <c r="E78" i="2"/>
  <c r="I84" i="2"/>
  <c r="H85" i="2"/>
  <c r="I87" i="2"/>
  <c r="H77" i="2"/>
  <c r="N83" i="2"/>
  <c r="H86" i="2"/>
  <c r="N59" i="2"/>
  <c r="F63" i="2"/>
  <c r="E64" i="2"/>
  <c r="B71" i="2"/>
  <c r="G63" i="2"/>
  <c r="F64" i="2"/>
  <c r="E65" i="2"/>
  <c r="E70" i="2"/>
  <c r="C71" i="2"/>
  <c r="G64" i="2"/>
  <c r="D71" i="2"/>
  <c r="I63" i="2"/>
  <c r="H64" i="2"/>
  <c r="G65" i="2"/>
  <c r="E66" i="2"/>
  <c r="E69" i="2"/>
  <c r="G70" i="2"/>
  <c r="N62" i="2"/>
  <c r="H65" i="2"/>
  <c r="E67" i="2"/>
  <c r="H70" i="2"/>
  <c r="E59" i="2"/>
  <c r="I65" i="2"/>
  <c r="G66" i="2"/>
  <c r="E68" i="2"/>
  <c r="G69" i="2"/>
  <c r="I70" i="2"/>
  <c r="H66" i="2"/>
  <c r="G67" i="2"/>
  <c r="H69" i="2"/>
  <c r="E60" i="2"/>
  <c r="I66" i="2"/>
  <c r="H67" i="2"/>
  <c r="I69" i="2"/>
  <c r="H59" i="2"/>
  <c r="N65" i="2"/>
  <c r="H68" i="2"/>
  <c r="C53" i="2"/>
  <c r="G46" i="2"/>
  <c r="D53" i="2"/>
  <c r="I45" i="2"/>
  <c r="H46" i="2"/>
  <c r="G47" i="2"/>
  <c r="E48" i="2"/>
  <c r="E51" i="2"/>
  <c r="G52" i="2"/>
  <c r="N44" i="2"/>
  <c r="H47" i="2"/>
  <c r="E49" i="2"/>
  <c r="H52" i="2"/>
  <c r="E41" i="2"/>
  <c r="I47" i="2"/>
  <c r="G48" i="2"/>
  <c r="E50" i="2"/>
  <c r="G51" i="2"/>
  <c r="I52" i="2"/>
  <c r="H48" i="2"/>
  <c r="G49" i="2"/>
  <c r="H51" i="2"/>
  <c r="E42" i="2"/>
  <c r="I48" i="2"/>
  <c r="H49" i="2"/>
  <c r="I51" i="2"/>
  <c r="H41" i="2"/>
  <c r="N47" i="2"/>
  <c r="H50" i="2"/>
  <c r="B53" i="2"/>
  <c r="P31" i="2"/>
  <c r="O22" i="2"/>
  <c r="O25" i="2"/>
  <c r="C35" i="2"/>
  <c r="P23" i="2"/>
  <c r="G28" i="2"/>
  <c r="D35" i="2"/>
  <c r="I27" i="2"/>
  <c r="H28" i="2"/>
  <c r="G29" i="2"/>
  <c r="E30" i="2"/>
  <c r="E33" i="2"/>
  <c r="G34" i="2"/>
  <c r="N26" i="2"/>
  <c r="H29" i="2"/>
  <c r="E31" i="2"/>
  <c r="H34" i="2"/>
  <c r="E23" i="2"/>
  <c r="I29" i="2"/>
  <c r="G30" i="2"/>
  <c r="E32" i="2"/>
  <c r="G33" i="2"/>
  <c r="I34" i="2"/>
  <c r="P20" i="2"/>
  <c r="H30" i="2"/>
  <c r="G31" i="2"/>
  <c r="H33" i="2"/>
  <c r="E24" i="2"/>
  <c r="I30" i="2"/>
  <c r="H31" i="2"/>
  <c r="I33" i="2"/>
  <c r="H23" i="2"/>
  <c r="N29" i="2"/>
  <c r="H32" i="2"/>
  <c r="E17" i="2"/>
  <c r="P13" i="2"/>
  <c r="O4" i="2"/>
  <c r="O7" i="2"/>
  <c r="G12" i="2"/>
  <c r="H7" i="2"/>
  <c r="H14" i="2"/>
  <c r="G7" i="2"/>
  <c r="G14" i="2"/>
  <c r="N11" i="2"/>
  <c r="B17" i="2"/>
  <c r="H11" i="2"/>
  <c r="G11" i="2"/>
  <c r="N8" i="2"/>
  <c r="H13" i="2"/>
  <c r="G6" i="2"/>
  <c r="D17" i="2"/>
  <c r="G13" i="2"/>
  <c r="C17" i="2"/>
  <c r="G8" i="2"/>
  <c r="K125" i="3" l="1"/>
  <c r="P124" i="3" s="1"/>
  <c r="P171" i="3"/>
  <c r="P165" i="3"/>
  <c r="P168" i="3"/>
  <c r="N166" i="3"/>
  <c r="O165" i="3"/>
  <c r="O172" i="3"/>
  <c r="O168" i="3"/>
  <c r="O175" i="3"/>
  <c r="P174" i="3"/>
  <c r="O169" i="3"/>
  <c r="Q167" i="3" s="1"/>
  <c r="N178" i="3" s="1"/>
  <c r="P175" i="3"/>
  <c r="O166" i="3"/>
  <c r="Q164" i="3" s="1"/>
  <c r="M178" i="3" s="1"/>
  <c r="N168" i="3"/>
  <c r="N171" i="3"/>
  <c r="O170" i="3"/>
  <c r="O171" i="3"/>
  <c r="Q170" i="3" s="1"/>
  <c r="O174" i="3"/>
  <c r="Q173" i="3" s="1"/>
  <c r="P166" i="3"/>
  <c r="P169" i="3"/>
  <c r="N174" i="3"/>
  <c r="P150" i="3"/>
  <c r="P147" i="3"/>
  <c r="P153" i="3"/>
  <c r="O153" i="3"/>
  <c r="O156" i="3"/>
  <c r="N147" i="3"/>
  <c r="N154" i="3"/>
  <c r="P155" i="3"/>
  <c r="N146" i="3"/>
  <c r="Q146" i="3" s="1"/>
  <c r="N156" i="3"/>
  <c r="Q155" i="3" s="1"/>
  <c r="O146" i="3"/>
  <c r="P152" i="3"/>
  <c r="Q152" i="3" s="1"/>
  <c r="O160" i="3" s="1"/>
  <c r="N153" i="3"/>
  <c r="N157" i="3"/>
  <c r="P149" i="3"/>
  <c r="N151" i="3"/>
  <c r="P139" i="3"/>
  <c r="O130" i="3"/>
  <c r="O133" i="3"/>
  <c r="P132" i="3"/>
  <c r="P129" i="3"/>
  <c r="P135" i="3"/>
  <c r="O138" i="3"/>
  <c r="Q137" i="3" s="1"/>
  <c r="N129" i="3"/>
  <c r="O135" i="3"/>
  <c r="Q134" i="3" s="1"/>
  <c r="O142" i="3" s="1"/>
  <c r="O129" i="3"/>
  <c r="Q128" i="3" s="1"/>
  <c r="M142" i="3" s="1"/>
  <c r="O136" i="3"/>
  <c r="O132" i="3"/>
  <c r="Q131" i="3" s="1"/>
  <c r="N142" i="3" s="1"/>
  <c r="P138" i="3"/>
  <c r="O139" i="3"/>
  <c r="N130" i="3"/>
  <c r="P134" i="3"/>
  <c r="P130" i="3"/>
  <c r="P131" i="3"/>
  <c r="N132" i="3"/>
  <c r="O134" i="3"/>
  <c r="P133" i="3"/>
  <c r="N135" i="3"/>
  <c r="I71" i="3"/>
  <c r="O39" i="3"/>
  <c r="N40" i="3"/>
  <c r="E53" i="3"/>
  <c r="P48" i="3"/>
  <c r="O49" i="3"/>
  <c r="F53" i="3"/>
  <c r="P49" i="3" s="1"/>
  <c r="P13" i="3"/>
  <c r="O4" i="3"/>
  <c r="O7" i="3"/>
  <c r="O6" i="3"/>
  <c r="N4" i="3"/>
  <c r="O3" i="3"/>
  <c r="O10" i="3"/>
  <c r="P12" i="3"/>
  <c r="O13" i="3"/>
  <c r="E89" i="3"/>
  <c r="O81" i="3" s="1"/>
  <c r="E35" i="3"/>
  <c r="I35" i="3"/>
  <c r="Q149" i="3"/>
  <c r="G125" i="3"/>
  <c r="O118" i="3" s="1"/>
  <c r="F125" i="3"/>
  <c r="O115" i="3" s="1"/>
  <c r="I125" i="3"/>
  <c r="P118" i="3" s="1"/>
  <c r="O111" i="3"/>
  <c r="P116" i="3"/>
  <c r="P110" i="3"/>
  <c r="P113" i="3"/>
  <c r="P119" i="3"/>
  <c r="N118" i="3"/>
  <c r="O110" i="3"/>
  <c r="N115" i="3"/>
  <c r="O113" i="3"/>
  <c r="N121" i="3"/>
  <c r="H125" i="3"/>
  <c r="E125" i="3"/>
  <c r="O119" i="3"/>
  <c r="N117" i="3"/>
  <c r="O116" i="3"/>
  <c r="N110" i="3"/>
  <c r="N114" i="3"/>
  <c r="N120" i="3"/>
  <c r="O61" i="3"/>
  <c r="P67" i="3"/>
  <c r="O58" i="3"/>
  <c r="O57" i="3"/>
  <c r="O64" i="3"/>
  <c r="O60" i="3"/>
  <c r="O67" i="3"/>
  <c r="N58" i="3"/>
  <c r="P66" i="3"/>
  <c r="O45" i="3"/>
  <c r="O48" i="3"/>
  <c r="Q47" i="3" s="1"/>
  <c r="N39" i="3"/>
  <c r="P28" i="3"/>
  <c r="P25" i="3"/>
  <c r="P22" i="3"/>
  <c r="O93" i="3"/>
  <c r="P102" i="3"/>
  <c r="O100" i="3"/>
  <c r="O96" i="3"/>
  <c r="N94" i="3"/>
  <c r="O103" i="3"/>
  <c r="P100" i="3"/>
  <c r="P97" i="3"/>
  <c r="P94" i="3"/>
  <c r="P99" i="3"/>
  <c r="P96" i="3"/>
  <c r="P93" i="3"/>
  <c r="N100" i="3"/>
  <c r="O92" i="3"/>
  <c r="N97" i="3"/>
  <c r="O95" i="3"/>
  <c r="N103" i="3"/>
  <c r="P101" i="3"/>
  <c r="P98" i="3"/>
  <c r="P92" i="3"/>
  <c r="P95" i="3"/>
  <c r="N21" i="3"/>
  <c r="O27" i="3"/>
  <c r="O30" i="3"/>
  <c r="I89" i="3"/>
  <c r="O101" i="3"/>
  <c r="N99" i="3"/>
  <c r="O98" i="3"/>
  <c r="N92" i="3"/>
  <c r="N96" i="3"/>
  <c r="N102" i="3"/>
  <c r="P26" i="3"/>
  <c r="P20" i="3"/>
  <c r="P23" i="3"/>
  <c r="P85" i="3"/>
  <c r="O76" i="3"/>
  <c r="O79" i="3"/>
  <c r="O65" i="3"/>
  <c r="N63" i="3"/>
  <c r="O62" i="3"/>
  <c r="N56" i="3"/>
  <c r="N60" i="3"/>
  <c r="N66" i="3"/>
  <c r="O21" i="3"/>
  <c r="O28" i="3"/>
  <c r="O24" i="3"/>
  <c r="P30" i="3"/>
  <c r="N22" i="3"/>
  <c r="O31" i="3"/>
  <c r="H53" i="3"/>
  <c r="O29" i="3"/>
  <c r="N27" i="3"/>
  <c r="O26" i="3"/>
  <c r="N20" i="3"/>
  <c r="N24" i="3"/>
  <c r="N30" i="3"/>
  <c r="P31" i="3"/>
  <c r="O25" i="3"/>
  <c r="O22" i="3"/>
  <c r="N64" i="3"/>
  <c r="O56" i="3"/>
  <c r="N61" i="3"/>
  <c r="O59" i="3"/>
  <c r="N67" i="3"/>
  <c r="P65" i="3"/>
  <c r="H71" i="3"/>
  <c r="I53" i="3"/>
  <c r="E71" i="3"/>
  <c r="E17" i="3"/>
  <c r="O94" i="3"/>
  <c r="O97" i="3"/>
  <c r="P103" i="3"/>
  <c r="P64" i="3"/>
  <c r="P61" i="3"/>
  <c r="P58" i="3"/>
  <c r="O78" i="3"/>
  <c r="O85" i="3"/>
  <c r="P84" i="3"/>
  <c r="N76" i="3"/>
  <c r="O75" i="3"/>
  <c r="O82" i="3"/>
  <c r="H35" i="3"/>
  <c r="H17" i="3"/>
  <c r="N28" i="3"/>
  <c r="O20" i="3"/>
  <c r="N25" i="3"/>
  <c r="O23" i="3"/>
  <c r="N31" i="3"/>
  <c r="P29" i="3"/>
  <c r="H89" i="3"/>
  <c r="E107" i="3"/>
  <c r="I17" i="3"/>
  <c r="O40" i="2"/>
  <c r="O43" i="2"/>
  <c r="P49" i="2"/>
  <c r="K107" i="2"/>
  <c r="P106" i="2" s="1"/>
  <c r="H17" i="2"/>
  <c r="P6" i="2" s="1"/>
  <c r="G71" i="2"/>
  <c r="O57" i="2" s="1"/>
  <c r="G53" i="2"/>
  <c r="O46" i="2" s="1"/>
  <c r="G35" i="2"/>
  <c r="O21" i="2" s="1"/>
  <c r="I107" i="2"/>
  <c r="P100" i="2" s="1"/>
  <c r="G107" i="2"/>
  <c r="O103" i="2" s="1"/>
  <c r="G89" i="2"/>
  <c r="N76" i="2" s="1"/>
  <c r="I89" i="2"/>
  <c r="P79" i="2" s="1"/>
  <c r="F71" i="2"/>
  <c r="O58" i="2" s="1"/>
  <c r="I71" i="2"/>
  <c r="P64" i="2" s="1"/>
  <c r="I53" i="2"/>
  <c r="P40" i="2" s="1"/>
  <c r="E53" i="2"/>
  <c r="O45" i="2" s="1"/>
  <c r="I35" i="2"/>
  <c r="P28" i="2" s="1"/>
  <c r="O97" i="2"/>
  <c r="P103" i="2"/>
  <c r="O94" i="2"/>
  <c r="O101" i="2"/>
  <c r="N99" i="2"/>
  <c r="O98" i="2"/>
  <c r="N92" i="2"/>
  <c r="N102" i="2"/>
  <c r="N96" i="2"/>
  <c r="P98" i="2"/>
  <c r="P92" i="2"/>
  <c r="P95" i="2"/>
  <c r="N100" i="2"/>
  <c r="O92" i="2"/>
  <c r="N97" i="2"/>
  <c r="O95" i="2"/>
  <c r="N103" i="2"/>
  <c r="P101" i="2"/>
  <c r="H107" i="2"/>
  <c r="E107" i="2"/>
  <c r="O76" i="2"/>
  <c r="O79" i="2"/>
  <c r="P85" i="2"/>
  <c r="P76" i="2"/>
  <c r="O75" i="2"/>
  <c r="O82" i="2"/>
  <c r="P84" i="2"/>
  <c r="O83" i="2"/>
  <c r="N81" i="2"/>
  <c r="O80" i="2"/>
  <c r="N74" i="2"/>
  <c r="N78" i="2"/>
  <c r="N84" i="2"/>
  <c r="H89" i="2"/>
  <c r="P80" i="2"/>
  <c r="P74" i="2"/>
  <c r="P77" i="2"/>
  <c r="E89" i="2"/>
  <c r="N82" i="2"/>
  <c r="O74" i="2"/>
  <c r="N79" i="2"/>
  <c r="O77" i="2"/>
  <c r="N85" i="2"/>
  <c r="P83" i="2"/>
  <c r="O60" i="2"/>
  <c r="O67" i="2"/>
  <c r="P66" i="2"/>
  <c r="N58" i="2"/>
  <c r="P62" i="2"/>
  <c r="P56" i="2"/>
  <c r="P59" i="2"/>
  <c r="E71" i="2"/>
  <c r="H71" i="2"/>
  <c r="O65" i="2"/>
  <c r="N66" i="2"/>
  <c r="N63" i="2"/>
  <c r="O62" i="2"/>
  <c r="N56" i="2"/>
  <c r="N60" i="2"/>
  <c r="N64" i="2"/>
  <c r="O56" i="2"/>
  <c r="N61" i="2"/>
  <c r="P65" i="2"/>
  <c r="O59" i="2"/>
  <c r="N67" i="2"/>
  <c r="P48" i="2"/>
  <c r="O42" i="2"/>
  <c r="N40" i="2"/>
  <c r="O47" i="2"/>
  <c r="N45" i="2"/>
  <c r="O44" i="2"/>
  <c r="N38" i="2"/>
  <c r="N42" i="2"/>
  <c r="N48" i="2"/>
  <c r="O41" i="2"/>
  <c r="N46" i="2"/>
  <c r="O38" i="2"/>
  <c r="N43" i="2"/>
  <c r="N49" i="2"/>
  <c r="P47" i="2"/>
  <c r="P44" i="2"/>
  <c r="P38" i="2"/>
  <c r="P41" i="2"/>
  <c r="H53" i="2"/>
  <c r="O29" i="2"/>
  <c r="N27" i="2"/>
  <c r="O26" i="2"/>
  <c r="N20" i="2"/>
  <c r="N24" i="2"/>
  <c r="N30" i="2"/>
  <c r="H35" i="2"/>
  <c r="O23" i="2"/>
  <c r="N28" i="2"/>
  <c r="O20" i="2"/>
  <c r="N25" i="2"/>
  <c r="N31" i="2"/>
  <c r="P29" i="2"/>
  <c r="E35" i="2"/>
  <c r="P9" i="2"/>
  <c r="O2" i="2"/>
  <c r="O5" i="2"/>
  <c r="N13" i="2"/>
  <c r="P11" i="2"/>
  <c r="N10" i="2"/>
  <c r="N7" i="2"/>
  <c r="I17" i="2"/>
  <c r="G17" i="2"/>
  <c r="N12" i="2"/>
  <c r="N2" i="2"/>
  <c r="O8" i="2"/>
  <c r="O11" i="2"/>
  <c r="N9" i="2"/>
  <c r="N6" i="2"/>
  <c r="P5" i="2"/>
  <c r="P8" i="2"/>
  <c r="P2" i="2"/>
  <c r="O12" i="2"/>
  <c r="O9" i="2"/>
  <c r="N3" i="2"/>
  <c r="O178" i="3" l="1"/>
  <c r="M160" i="3"/>
  <c r="N112" i="3"/>
  <c r="P121" i="3"/>
  <c r="O121" i="3"/>
  <c r="O112" i="3"/>
  <c r="O114" i="3"/>
  <c r="P120" i="3"/>
  <c r="N75" i="3"/>
  <c r="O84" i="3"/>
  <c r="O40" i="3"/>
  <c r="O43" i="3"/>
  <c r="N160" i="3"/>
  <c r="P112" i="3"/>
  <c r="Q83" i="3"/>
  <c r="Q29" i="3"/>
  <c r="P115" i="3"/>
  <c r="N111" i="3"/>
  <c r="O117" i="3"/>
  <c r="O120" i="3"/>
  <c r="Q119" i="3" s="1"/>
  <c r="P117" i="3"/>
  <c r="P114" i="3"/>
  <c r="Q113" i="3" s="1"/>
  <c r="N124" i="3" s="1"/>
  <c r="P111" i="3"/>
  <c r="P39" i="3"/>
  <c r="P45" i="3"/>
  <c r="P42" i="3"/>
  <c r="P4" i="3"/>
  <c r="P10" i="3"/>
  <c r="P7" i="3"/>
  <c r="Q95" i="3"/>
  <c r="P40" i="3"/>
  <c r="P46" i="3"/>
  <c r="P43" i="3"/>
  <c r="P75" i="3"/>
  <c r="P81" i="3"/>
  <c r="P78" i="3"/>
  <c r="P63" i="3"/>
  <c r="P60" i="3"/>
  <c r="Q59" i="3" s="1"/>
  <c r="P57" i="3"/>
  <c r="P27" i="3"/>
  <c r="Q26" i="3" s="1"/>
  <c r="P24" i="3"/>
  <c r="Q23" i="3" s="1"/>
  <c r="N34" i="3" s="1"/>
  <c r="P21" i="3"/>
  <c r="Q20" i="3" s="1"/>
  <c r="M34" i="3" s="1"/>
  <c r="P76" i="3"/>
  <c r="P82" i="3"/>
  <c r="P79" i="3"/>
  <c r="O12" i="3"/>
  <c r="Q11" i="3" s="1"/>
  <c r="N3" i="3"/>
  <c r="O9" i="3"/>
  <c r="N57" i="3"/>
  <c r="O63" i="3"/>
  <c r="Q62" i="3" s="1"/>
  <c r="O66" i="3"/>
  <c r="Q65" i="3" s="1"/>
  <c r="N93" i="3"/>
  <c r="Q92" i="3" s="1"/>
  <c r="O99" i="3"/>
  <c r="Q98" i="3" s="1"/>
  <c r="O102" i="3"/>
  <c r="Q101" i="3" s="1"/>
  <c r="P3" i="3"/>
  <c r="P9" i="3"/>
  <c r="P6" i="3"/>
  <c r="O31" i="2"/>
  <c r="N22" i="2"/>
  <c r="P97" i="2"/>
  <c r="O64" i="2"/>
  <c r="O39" i="2"/>
  <c r="Q38" i="2" s="1"/>
  <c r="O49" i="2"/>
  <c r="O24" i="2"/>
  <c r="P94" i="2"/>
  <c r="P30" i="2"/>
  <c r="O28" i="2"/>
  <c r="P3" i="2"/>
  <c r="O100" i="2"/>
  <c r="O93" i="2"/>
  <c r="O96" i="2"/>
  <c r="P82" i="2"/>
  <c r="O78" i="2"/>
  <c r="Q77" i="2" s="1"/>
  <c r="O85" i="2"/>
  <c r="P46" i="2"/>
  <c r="O48" i="2"/>
  <c r="Q47" i="2" s="1"/>
  <c r="N94" i="2"/>
  <c r="P102" i="2"/>
  <c r="O61" i="2"/>
  <c r="P67" i="2"/>
  <c r="P61" i="2"/>
  <c r="P58" i="2"/>
  <c r="N39" i="2"/>
  <c r="P43" i="2"/>
  <c r="P25" i="2"/>
  <c r="P22" i="2"/>
  <c r="N93" i="2"/>
  <c r="O99" i="2"/>
  <c r="O102" i="2"/>
  <c r="P99" i="2"/>
  <c r="P96" i="2"/>
  <c r="Q95" i="2" s="1"/>
  <c r="P93" i="2"/>
  <c r="P81" i="2"/>
  <c r="P78" i="2"/>
  <c r="P75" i="2"/>
  <c r="N75" i="2"/>
  <c r="O81" i="2"/>
  <c r="O84" i="2"/>
  <c r="Q83" i="2" s="1"/>
  <c r="P63" i="2"/>
  <c r="P60" i="2"/>
  <c r="P57" i="2"/>
  <c r="N57" i="2"/>
  <c r="O63" i="2"/>
  <c r="O66" i="2"/>
  <c r="Q65" i="2" s="1"/>
  <c r="P45" i="2"/>
  <c r="Q44" i="2" s="1"/>
  <c r="P42" i="2"/>
  <c r="P39" i="2"/>
  <c r="P27" i="2"/>
  <c r="P24" i="2"/>
  <c r="P21" i="2"/>
  <c r="N21" i="2"/>
  <c r="O27" i="2"/>
  <c r="O30" i="2"/>
  <c r="Q29" i="2" s="1"/>
  <c r="P12" i="2"/>
  <c r="N4" i="2"/>
  <c r="Q2" i="2" s="1"/>
  <c r="O13" i="2"/>
  <c r="O6" i="2"/>
  <c r="O3" i="2"/>
  <c r="O10" i="2"/>
  <c r="P10" i="2"/>
  <c r="Q8" i="2" s="1"/>
  <c r="P7" i="2"/>
  <c r="Q5" i="2" s="1"/>
  <c r="P4" i="2"/>
  <c r="Q110" i="3" l="1"/>
  <c r="M124" i="3" s="1"/>
  <c r="O70" i="3"/>
  <c r="N70" i="3"/>
  <c r="Q56" i="3"/>
  <c r="M70" i="3" s="1"/>
  <c r="J61" i="3" s="1"/>
  <c r="K61" i="3" s="1"/>
  <c r="O34" i="3"/>
  <c r="Q2" i="3"/>
  <c r="M16" i="3" s="1"/>
  <c r="O106" i="3"/>
  <c r="N106" i="3"/>
  <c r="M106" i="3"/>
  <c r="J103" i="3" s="1"/>
  <c r="K103" i="3" s="1"/>
  <c r="Q77" i="3"/>
  <c r="N88" i="3" s="1"/>
  <c r="Q44" i="3"/>
  <c r="O52" i="3" s="1"/>
  <c r="Q5" i="3"/>
  <c r="N16" i="3" s="1"/>
  <c r="J14" i="3" s="1"/>
  <c r="K14" i="3" s="1"/>
  <c r="Q116" i="3"/>
  <c r="O124" i="3" s="1"/>
  <c r="J31" i="3"/>
  <c r="K31" i="3" s="1"/>
  <c r="J33" i="3"/>
  <c r="K33" i="3" s="1"/>
  <c r="J30" i="3"/>
  <c r="K30" i="3" s="1"/>
  <c r="J34" i="3"/>
  <c r="K34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32" i="3"/>
  <c r="K32" i="3" s="1"/>
  <c r="J23" i="3"/>
  <c r="J67" i="3"/>
  <c r="K67" i="3" s="1"/>
  <c r="J69" i="3"/>
  <c r="K69" i="3" s="1"/>
  <c r="J66" i="3"/>
  <c r="K66" i="3" s="1"/>
  <c r="J70" i="3"/>
  <c r="K70" i="3" s="1"/>
  <c r="J65" i="3"/>
  <c r="K65" i="3" s="1"/>
  <c r="J64" i="3"/>
  <c r="K64" i="3" s="1"/>
  <c r="J63" i="3"/>
  <c r="K63" i="3" s="1"/>
  <c r="J60" i="3"/>
  <c r="K60" i="3" s="1"/>
  <c r="J62" i="3"/>
  <c r="K62" i="3" s="1"/>
  <c r="Q8" i="3"/>
  <c r="O16" i="3" s="1"/>
  <c r="Q80" i="3"/>
  <c r="O88" i="3" s="1"/>
  <c r="Q41" i="3"/>
  <c r="N52" i="3" s="1"/>
  <c r="Q74" i="3"/>
  <c r="M88" i="3" s="1"/>
  <c r="Q38" i="3"/>
  <c r="M52" i="3" s="1"/>
  <c r="Q11" i="2"/>
  <c r="M16" i="2" s="1"/>
  <c r="Q23" i="2"/>
  <c r="N16" i="2"/>
  <c r="Q20" i="2"/>
  <c r="M34" i="2" s="1"/>
  <c r="O16" i="2"/>
  <c r="Q41" i="2"/>
  <c r="N52" i="2" s="1"/>
  <c r="Q92" i="2"/>
  <c r="Q101" i="2"/>
  <c r="N106" i="2" s="1"/>
  <c r="M52" i="2"/>
  <c r="Q26" i="2"/>
  <c r="O34" i="2" s="1"/>
  <c r="M106" i="2"/>
  <c r="Q56" i="2"/>
  <c r="M70" i="2" s="1"/>
  <c r="Q59" i="2"/>
  <c r="N70" i="2" s="1"/>
  <c r="Q62" i="2"/>
  <c r="O52" i="2"/>
  <c r="Q80" i="2"/>
  <c r="O88" i="2" s="1"/>
  <c r="Q74" i="2"/>
  <c r="M88" i="2" s="1"/>
  <c r="O70" i="2"/>
  <c r="N34" i="2"/>
  <c r="Q98" i="2"/>
  <c r="O106" i="2" s="1"/>
  <c r="N88" i="2"/>
  <c r="J102" i="3" l="1"/>
  <c r="K102" i="3" s="1"/>
  <c r="J105" i="3"/>
  <c r="K105" i="3" s="1"/>
  <c r="J59" i="3"/>
  <c r="J68" i="3"/>
  <c r="K68" i="3" s="1"/>
  <c r="J16" i="3"/>
  <c r="K16" i="3" s="1"/>
  <c r="J6" i="3"/>
  <c r="K6" i="3" s="1"/>
  <c r="J7" i="3"/>
  <c r="K7" i="3" s="1"/>
  <c r="J8" i="3"/>
  <c r="K8" i="3" s="1"/>
  <c r="J100" i="3"/>
  <c r="K100" i="3" s="1"/>
  <c r="J95" i="3"/>
  <c r="J107" i="3" s="1"/>
  <c r="J104" i="3"/>
  <c r="K104" i="3" s="1"/>
  <c r="J96" i="3"/>
  <c r="K96" i="3" s="1"/>
  <c r="J97" i="3"/>
  <c r="K97" i="3" s="1"/>
  <c r="J98" i="3"/>
  <c r="K98" i="3" s="1"/>
  <c r="J101" i="3"/>
  <c r="K101" i="3" s="1"/>
  <c r="J106" i="3"/>
  <c r="K106" i="3" s="1"/>
  <c r="J5" i="3"/>
  <c r="J12" i="3"/>
  <c r="K12" i="3" s="1"/>
  <c r="J15" i="3"/>
  <c r="K15" i="3" s="1"/>
  <c r="J13" i="3"/>
  <c r="K13" i="3" s="1"/>
  <c r="J99" i="3"/>
  <c r="K99" i="3" s="1"/>
  <c r="J11" i="3"/>
  <c r="K11" i="3" s="1"/>
  <c r="J9" i="3"/>
  <c r="K9" i="3" s="1"/>
  <c r="J10" i="3"/>
  <c r="K10" i="3" s="1"/>
  <c r="K59" i="3"/>
  <c r="K71" i="3" s="1"/>
  <c r="P70" i="3" s="1"/>
  <c r="K5" i="3"/>
  <c r="J35" i="3"/>
  <c r="K23" i="3"/>
  <c r="K35" i="3" s="1"/>
  <c r="P34" i="3" s="1"/>
  <c r="J44" i="3"/>
  <c r="K44" i="3" s="1"/>
  <c r="J43" i="3"/>
  <c r="K43" i="3" s="1"/>
  <c r="J52" i="3"/>
  <c r="K52" i="3" s="1"/>
  <c r="J42" i="3"/>
  <c r="K42" i="3" s="1"/>
  <c r="J50" i="3"/>
  <c r="K50" i="3" s="1"/>
  <c r="J41" i="3"/>
  <c r="J49" i="3"/>
  <c r="K49" i="3" s="1"/>
  <c r="J51" i="3"/>
  <c r="K51" i="3" s="1"/>
  <c r="J48" i="3"/>
  <c r="K48" i="3" s="1"/>
  <c r="J47" i="3"/>
  <c r="K47" i="3" s="1"/>
  <c r="J46" i="3"/>
  <c r="K46" i="3" s="1"/>
  <c r="J45" i="3"/>
  <c r="K45" i="3" s="1"/>
  <c r="J80" i="3"/>
  <c r="K80" i="3" s="1"/>
  <c r="J79" i="3"/>
  <c r="K79" i="3" s="1"/>
  <c r="J83" i="3"/>
  <c r="K83" i="3" s="1"/>
  <c r="J78" i="3"/>
  <c r="K78" i="3" s="1"/>
  <c r="J86" i="3"/>
  <c r="K86" i="3" s="1"/>
  <c r="J77" i="3"/>
  <c r="J85" i="3"/>
  <c r="K85" i="3" s="1"/>
  <c r="J88" i="3"/>
  <c r="K88" i="3" s="1"/>
  <c r="J87" i="3"/>
  <c r="K87" i="3" s="1"/>
  <c r="J84" i="3"/>
  <c r="K84" i="3" s="1"/>
  <c r="J82" i="3"/>
  <c r="K82" i="3" s="1"/>
  <c r="J81" i="3"/>
  <c r="K81" i="3" s="1"/>
  <c r="J11" i="2"/>
  <c r="K11" i="2" s="1"/>
  <c r="J10" i="2"/>
  <c r="K10" i="2" s="1"/>
  <c r="J8" i="2"/>
  <c r="K8" i="2" s="1"/>
  <c r="J9" i="2"/>
  <c r="K9" i="2" s="1"/>
  <c r="J13" i="2"/>
  <c r="K13" i="2" s="1"/>
  <c r="J15" i="2"/>
  <c r="K15" i="2" s="1"/>
  <c r="J5" i="2"/>
  <c r="K5" i="2" s="1"/>
  <c r="K17" i="2" s="1"/>
  <c r="P16" i="2" s="1"/>
  <c r="J14" i="2"/>
  <c r="K14" i="2" s="1"/>
  <c r="J16" i="2"/>
  <c r="K16" i="2" s="1"/>
  <c r="J7" i="2"/>
  <c r="K7" i="2" s="1"/>
  <c r="J12" i="2"/>
  <c r="K12" i="2" s="1"/>
  <c r="J6" i="2"/>
  <c r="K6" i="2" s="1"/>
  <c r="J41" i="2"/>
  <c r="J52" i="2"/>
  <c r="K52" i="2" s="1"/>
  <c r="J49" i="2"/>
  <c r="K49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50" i="2"/>
  <c r="K50" i="2" s="1"/>
  <c r="J51" i="2"/>
  <c r="K51" i="2" s="1"/>
  <c r="J23" i="2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77" i="2"/>
  <c r="J70" i="2"/>
  <c r="K70" i="2" s="1"/>
  <c r="J59" i="2"/>
  <c r="J63" i="2"/>
  <c r="K63" i="2" s="1"/>
  <c r="J60" i="2"/>
  <c r="K60" i="2" s="1"/>
  <c r="J61" i="2"/>
  <c r="K61" i="2" s="1"/>
  <c r="J62" i="2"/>
  <c r="K62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K95" i="3" l="1"/>
  <c r="K107" i="3" s="1"/>
  <c r="P106" i="3" s="1"/>
  <c r="J71" i="3"/>
  <c r="K17" i="3"/>
  <c r="P16" i="3" s="1"/>
  <c r="J17" i="3"/>
  <c r="K77" i="3"/>
  <c r="K89" i="3" s="1"/>
  <c r="P88" i="3" s="1"/>
  <c r="J89" i="3"/>
  <c r="K41" i="3"/>
  <c r="K53" i="3" s="1"/>
  <c r="P52" i="3" s="1"/>
  <c r="J53" i="3"/>
  <c r="J17" i="2"/>
  <c r="K59" i="2"/>
  <c r="K71" i="2" s="1"/>
  <c r="P70" i="2" s="1"/>
  <c r="J71" i="2"/>
  <c r="J89" i="2"/>
  <c r="K77" i="2"/>
  <c r="K89" i="2" s="1"/>
  <c r="P88" i="2" s="1"/>
  <c r="K23" i="2"/>
  <c r="K35" i="2" s="1"/>
  <c r="P34" i="2" s="1"/>
  <c r="J35" i="2"/>
  <c r="K41" i="2"/>
  <c r="K53" i="2" s="1"/>
  <c r="P52" i="2" s="1"/>
  <c r="J53" i="2"/>
</calcChain>
</file>

<file path=xl/sharedStrings.xml><?xml version="1.0" encoding="utf-8"?>
<sst xmlns="http://schemas.openxmlformats.org/spreadsheetml/2006/main" count="386" uniqueCount="55">
  <si>
    <t>y</t>
  </si>
  <si>
    <t>x1</t>
  </si>
  <si>
    <t>x2</t>
  </si>
  <si>
    <t>x3</t>
  </si>
  <si>
    <t>x4</t>
  </si>
  <si>
    <t>№ пп</t>
  </si>
  <si>
    <t>Исходные данные</t>
  </si>
  <si>
    <t>Вспомогательные расчеты</t>
  </si>
  <si>
    <t>Расчет параметров</t>
  </si>
  <si>
    <r>
      <t>Расчет ошибки</t>
    </r>
    <r>
      <rPr>
        <b/>
        <sz val="12"/>
        <rFont val="Arial Cyr"/>
        <charset val="204"/>
      </rPr>
      <t>(</t>
    </r>
    <r>
      <rPr>
        <b/>
        <sz val="12"/>
        <rFont val="Symbol"/>
        <family val="1"/>
        <charset val="2"/>
      </rPr>
      <t>s</t>
    </r>
    <r>
      <rPr>
        <b/>
        <sz val="12"/>
        <rFont val="Arial Cyr"/>
        <family val="2"/>
        <charset val="204"/>
      </rPr>
      <t>)</t>
    </r>
  </si>
  <si>
    <t>S</t>
  </si>
  <si>
    <t>dk0</t>
  </si>
  <si>
    <t>dk1</t>
  </si>
  <si>
    <t>d</t>
  </si>
  <si>
    <t>k1</t>
  </si>
  <si>
    <t>o12</t>
  </si>
  <si>
    <t>x2*x3</t>
  </si>
  <si>
    <r>
      <t>x1</t>
    </r>
    <r>
      <rPr>
        <b/>
        <i/>
        <vertAlign val="superscript"/>
        <sz val="12"/>
        <rFont val="Arial Cyr"/>
        <charset val="204"/>
      </rPr>
      <t>2</t>
    </r>
  </si>
  <si>
    <t>x1*x2</t>
  </si>
  <si>
    <r>
      <t>x2</t>
    </r>
    <r>
      <rPr>
        <b/>
        <i/>
        <vertAlign val="superscript"/>
        <sz val="12"/>
        <rFont val="Arial Cyr"/>
        <charset val="204"/>
      </rPr>
      <t>2</t>
    </r>
  </si>
  <si>
    <r>
      <t>(y - y</t>
    </r>
    <r>
      <rPr>
        <b/>
        <vertAlign val="subscript"/>
        <sz val="12"/>
        <rFont val="Arial Cyr"/>
        <family val="2"/>
        <charset val="204"/>
      </rPr>
      <t>12</t>
    </r>
    <r>
      <rPr>
        <b/>
        <sz val="12"/>
        <rFont val="Arial Cyr"/>
        <family val="2"/>
        <charset val="204"/>
      </rPr>
      <t>)</t>
    </r>
    <r>
      <rPr>
        <b/>
        <vertAlign val="superscript"/>
        <sz val="12"/>
        <rFont val="Arial Cyr"/>
        <family val="2"/>
        <charset val="204"/>
      </rPr>
      <t>2</t>
    </r>
  </si>
  <si>
    <t>y*x1</t>
  </si>
  <si>
    <t>y*x2</t>
  </si>
  <si>
    <t>dk2</t>
  </si>
  <si>
    <t>k0</t>
  </si>
  <si>
    <t>k2</t>
  </si>
  <si>
    <r>
      <t>y</t>
    </r>
    <r>
      <rPr>
        <b/>
        <vertAlign val="subscript"/>
        <sz val="12"/>
        <rFont val="Arial Cyr"/>
        <charset val="204"/>
      </rPr>
      <t>12</t>
    </r>
    <r>
      <rPr>
        <b/>
        <sz val="12"/>
        <rFont val="Arial Cyr"/>
        <charset val="204"/>
      </rPr>
      <t>=k</t>
    </r>
    <r>
      <rPr>
        <b/>
        <vertAlign val="subscript"/>
        <sz val="12"/>
        <rFont val="Arial Cyr"/>
        <charset val="204"/>
      </rPr>
      <t>0</t>
    </r>
    <r>
      <rPr>
        <b/>
        <sz val="12"/>
        <rFont val="Arial Cyr"/>
        <charset val="204"/>
      </rPr>
      <t>+k</t>
    </r>
    <r>
      <rPr>
        <b/>
        <vertAlign val="subscript"/>
        <sz val="12"/>
        <rFont val="Arial Cyr"/>
        <charset val="204"/>
      </rPr>
      <t>1</t>
    </r>
    <r>
      <rPr>
        <b/>
        <sz val="12"/>
        <rFont val="Arial Cyr"/>
        <charset val="204"/>
      </rPr>
      <t>*x1+k</t>
    </r>
    <r>
      <rPr>
        <b/>
        <vertAlign val="subscript"/>
        <sz val="12"/>
        <rFont val="Arial Cyr"/>
        <charset val="204"/>
      </rPr>
      <t>2</t>
    </r>
    <r>
      <rPr>
        <b/>
        <sz val="12"/>
        <rFont val="Arial Cyr"/>
        <charset val="204"/>
      </rPr>
      <t>*x2</t>
    </r>
  </si>
  <si>
    <r>
      <t>x3</t>
    </r>
    <r>
      <rPr>
        <b/>
        <i/>
        <vertAlign val="superscript"/>
        <sz val="12"/>
        <rFont val="Arial Cyr"/>
        <charset val="204"/>
      </rPr>
      <t>2</t>
    </r>
  </si>
  <si>
    <t>x1*x3</t>
  </si>
  <si>
    <t>y*x3</t>
  </si>
  <si>
    <r>
      <t>y</t>
    </r>
    <r>
      <rPr>
        <b/>
        <vertAlign val="subscript"/>
        <sz val="12"/>
        <rFont val="Arial Cyr"/>
        <charset val="204"/>
      </rPr>
      <t>13</t>
    </r>
    <r>
      <rPr>
        <b/>
        <sz val="12"/>
        <rFont val="Arial Cyr"/>
        <charset val="204"/>
      </rPr>
      <t>=k</t>
    </r>
    <r>
      <rPr>
        <b/>
        <vertAlign val="subscript"/>
        <sz val="12"/>
        <rFont val="Arial Cyr"/>
        <charset val="204"/>
      </rPr>
      <t>0</t>
    </r>
    <r>
      <rPr>
        <b/>
        <sz val="12"/>
        <rFont val="Arial Cyr"/>
        <charset val="204"/>
      </rPr>
      <t>+k</t>
    </r>
    <r>
      <rPr>
        <b/>
        <vertAlign val="subscript"/>
        <sz val="12"/>
        <rFont val="Arial Cyr"/>
        <charset val="204"/>
      </rPr>
      <t>1</t>
    </r>
    <r>
      <rPr>
        <b/>
        <sz val="12"/>
        <rFont val="Arial Cyr"/>
        <charset val="204"/>
      </rPr>
      <t>*x1+k</t>
    </r>
    <r>
      <rPr>
        <b/>
        <vertAlign val="subscript"/>
        <sz val="12"/>
        <rFont val="Arial Cyr"/>
        <charset val="204"/>
      </rPr>
      <t>2</t>
    </r>
    <r>
      <rPr>
        <b/>
        <sz val="12"/>
        <rFont val="Arial Cyr"/>
        <charset val="204"/>
      </rPr>
      <t>*x3</t>
    </r>
  </si>
  <si>
    <r>
      <t>(y - y</t>
    </r>
    <r>
      <rPr>
        <b/>
        <vertAlign val="subscript"/>
        <sz val="12"/>
        <rFont val="Arial Cyr"/>
        <family val="2"/>
        <charset val="204"/>
      </rPr>
      <t>13</t>
    </r>
    <r>
      <rPr>
        <b/>
        <sz val="12"/>
        <rFont val="Arial Cyr"/>
        <family val="2"/>
        <charset val="204"/>
      </rPr>
      <t>)</t>
    </r>
    <r>
      <rPr>
        <b/>
        <vertAlign val="superscript"/>
        <sz val="12"/>
        <rFont val="Arial Cyr"/>
        <family val="2"/>
        <charset val="204"/>
      </rPr>
      <t>2</t>
    </r>
  </si>
  <si>
    <r>
      <t>x4</t>
    </r>
    <r>
      <rPr>
        <b/>
        <i/>
        <vertAlign val="superscript"/>
        <sz val="12"/>
        <rFont val="Arial Cyr"/>
        <charset val="204"/>
      </rPr>
      <t>2</t>
    </r>
  </si>
  <si>
    <t>x1*x4</t>
  </si>
  <si>
    <t>y*x4</t>
  </si>
  <si>
    <r>
      <t>y</t>
    </r>
    <r>
      <rPr>
        <b/>
        <vertAlign val="subscript"/>
        <sz val="12"/>
        <rFont val="Arial Cyr"/>
        <charset val="204"/>
      </rPr>
      <t>14</t>
    </r>
    <r>
      <rPr>
        <b/>
        <sz val="12"/>
        <rFont val="Arial Cyr"/>
        <charset val="204"/>
      </rPr>
      <t>=k</t>
    </r>
    <r>
      <rPr>
        <b/>
        <vertAlign val="subscript"/>
        <sz val="12"/>
        <rFont val="Arial Cyr"/>
        <charset val="204"/>
      </rPr>
      <t>0</t>
    </r>
    <r>
      <rPr>
        <b/>
        <sz val="12"/>
        <rFont val="Arial Cyr"/>
        <charset val="204"/>
      </rPr>
      <t>+k</t>
    </r>
    <r>
      <rPr>
        <b/>
        <vertAlign val="subscript"/>
        <sz val="12"/>
        <rFont val="Arial Cyr"/>
        <charset val="204"/>
      </rPr>
      <t>1</t>
    </r>
    <r>
      <rPr>
        <b/>
        <sz val="12"/>
        <rFont val="Arial Cyr"/>
        <charset val="204"/>
      </rPr>
      <t>*x1+k</t>
    </r>
    <r>
      <rPr>
        <b/>
        <vertAlign val="subscript"/>
        <sz val="12"/>
        <rFont val="Arial Cyr"/>
        <charset val="204"/>
      </rPr>
      <t>2</t>
    </r>
    <r>
      <rPr>
        <b/>
        <sz val="12"/>
        <rFont val="Arial Cyr"/>
        <charset val="204"/>
      </rPr>
      <t>*x4</t>
    </r>
  </si>
  <si>
    <r>
      <t>(y - y</t>
    </r>
    <r>
      <rPr>
        <b/>
        <vertAlign val="subscript"/>
        <sz val="12"/>
        <rFont val="Arial Cyr"/>
        <family val="2"/>
        <charset val="204"/>
      </rPr>
      <t>14</t>
    </r>
    <r>
      <rPr>
        <b/>
        <sz val="12"/>
        <rFont val="Arial Cyr"/>
        <family val="2"/>
        <charset val="204"/>
      </rPr>
      <t>)</t>
    </r>
    <r>
      <rPr>
        <b/>
        <vertAlign val="superscript"/>
        <sz val="12"/>
        <rFont val="Arial Cyr"/>
        <family val="2"/>
        <charset val="204"/>
      </rPr>
      <t>2</t>
    </r>
  </si>
  <si>
    <r>
      <t>y</t>
    </r>
    <r>
      <rPr>
        <b/>
        <vertAlign val="subscript"/>
        <sz val="12"/>
        <rFont val="Arial Cyr"/>
        <charset val="204"/>
      </rPr>
      <t>23</t>
    </r>
    <r>
      <rPr>
        <b/>
        <sz val="12"/>
        <rFont val="Arial Cyr"/>
        <charset val="204"/>
      </rPr>
      <t>=k</t>
    </r>
    <r>
      <rPr>
        <b/>
        <vertAlign val="subscript"/>
        <sz val="12"/>
        <rFont val="Arial Cyr"/>
        <charset val="204"/>
      </rPr>
      <t>0</t>
    </r>
    <r>
      <rPr>
        <b/>
        <sz val="12"/>
        <rFont val="Arial Cyr"/>
        <charset val="204"/>
      </rPr>
      <t>+k</t>
    </r>
    <r>
      <rPr>
        <b/>
        <vertAlign val="subscript"/>
        <sz val="12"/>
        <rFont val="Arial Cyr"/>
        <charset val="204"/>
      </rPr>
      <t>1</t>
    </r>
    <r>
      <rPr>
        <b/>
        <sz val="12"/>
        <rFont val="Arial Cyr"/>
        <charset val="204"/>
      </rPr>
      <t>*x2+k</t>
    </r>
    <r>
      <rPr>
        <b/>
        <vertAlign val="subscript"/>
        <sz val="12"/>
        <rFont val="Arial Cyr"/>
        <charset val="204"/>
      </rPr>
      <t>2</t>
    </r>
    <r>
      <rPr>
        <b/>
        <sz val="12"/>
        <rFont val="Arial Cyr"/>
        <charset val="204"/>
      </rPr>
      <t>*x3</t>
    </r>
  </si>
  <si>
    <r>
      <t>(y - y</t>
    </r>
    <r>
      <rPr>
        <b/>
        <vertAlign val="subscript"/>
        <sz val="12"/>
        <rFont val="Arial Cyr"/>
        <family val="2"/>
        <charset val="204"/>
      </rPr>
      <t>23</t>
    </r>
    <r>
      <rPr>
        <b/>
        <sz val="12"/>
        <rFont val="Arial Cyr"/>
        <family val="2"/>
        <charset val="204"/>
      </rPr>
      <t>)</t>
    </r>
    <r>
      <rPr>
        <b/>
        <vertAlign val="superscript"/>
        <sz val="12"/>
        <rFont val="Arial Cyr"/>
        <family val="2"/>
        <charset val="204"/>
      </rPr>
      <t>2</t>
    </r>
  </si>
  <si>
    <t>x2*x4</t>
  </si>
  <si>
    <r>
      <t>(y - y</t>
    </r>
    <r>
      <rPr>
        <b/>
        <vertAlign val="subscript"/>
        <sz val="12"/>
        <rFont val="Arial Cyr"/>
        <family val="2"/>
        <charset val="204"/>
      </rPr>
      <t>24</t>
    </r>
    <r>
      <rPr>
        <b/>
        <sz val="12"/>
        <rFont val="Arial Cyr"/>
        <family val="2"/>
        <charset val="204"/>
      </rPr>
      <t>)</t>
    </r>
    <r>
      <rPr>
        <b/>
        <vertAlign val="superscript"/>
        <sz val="12"/>
        <rFont val="Arial Cyr"/>
        <family val="2"/>
        <charset val="204"/>
      </rPr>
      <t>2</t>
    </r>
  </si>
  <si>
    <r>
      <t>y</t>
    </r>
    <r>
      <rPr>
        <b/>
        <vertAlign val="subscript"/>
        <sz val="12"/>
        <rFont val="Arial Cyr"/>
        <charset val="204"/>
      </rPr>
      <t>24</t>
    </r>
    <r>
      <rPr>
        <b/>
        <sz val="12"/>
        <rFont val="Arial Cyr"/>
        <charset val="204"/>
      </rPr>
      <t>=k</t>
    </r>
    <r>
      <rPr>
        <b/>
        <vertAlign val="subscript"/>
        <sz val="12"/>
        <rFont val="Arial Cyr"/>
        <charset val="204"/>
      </rPr>
      <t>0</t>
    </r>
    <r>
      <rPr>
        <b/>
        <sz val="12"/>
        <rFont val="Arial Cyr"/>
        <charset val="204"/>
      </rPr>
      <t>+k</t>
    </r>
    <r>
      <rPr>
        <b/>
        <vertAlign val="subscript"/>
        <sz val="12"/>
        <rFont val="Arial Cyr"/>
        <charset val="204"/>
      </rPr>
      <t>1</t>
    </r>
    <r>
      <rPr>
        <b/>
        <sz val="12"/>
        <rFont val="Arial Cyr"/>
        <charset val="204"/>
      </rPr>
      <t>*x2+k</t>
    </r>
    <r>
      <rPr>
        <b/>
        <vertAlign val="subscript"/>
        <sz val="12"/>
        <rFont val="Arial Cyr"/>
        <charset val="204"/>
      </rPr>
      <t>2</t>
    </r>
    <r>
      <rPr>
        <b/>
        <sz val="12"/>
        <rFont val="Arial Cyr"/>
        <charset val="204"/>
      </rPr>
      <t>*x4</t>
    </r>
  </si>
  <si>
    <t>x3*x4</t>
  </si>
  <si>
    <r>
      <t>y</t>
    </r>
    <r>
      <rPr>
        <b/>
        <vertAlign val="subscript"/>
        <sz val="12"/>
        <rFont val="Arial Cyr"/>
        <charset val="204"/>
      </rPr>
      <t>34</t>
    </r>
    <r>
      <rPr>
        <b/>
        <sz val="12"/>
        <rFont val="Arial Cyr"/>
        <charset val="204"/>
      </rPr>
      <t>=k</t>
    </r>
    <r>
      <rPr>
        <b/>
        <vertAlign val="subscript"/>
        <sz val="12"/>
        <rFont val="Arial Cyr"/>
        <charset val="204"/>
      </rPr>
      <t>0</t>
    </r>
    <r>
      <rPr>
        <b/>
        <sz val="12"/>
        <rFont val="Arial Cyr"/>
        <charset val="204"/>
      </rPr>
      <t>+k</t>
    </r>
    <r>
      <rPr>
        <b/>
        <vertAlign val="subscript"/>
        <sz val="12"/>
        <rFont val="Arial Cyr"/>
        <charset val="204"/>
      </rPr>
      <t>1</t>
    </r>
    <r>
      <rPr>
        <b/>
        <sz val="12"/>
        <rFont val="Arial Cyr"/>
        <charset val="204"/>
      </rPr>
      <t>*x3+k</t>
    </r>
    <r>
      <rPr>
        <b/>
        <vertAlign val="subscript"/>
        <sz val="12"/>
        <rFont val="Arial Cyr"/>
        <charset val="204"/>
      </rPr>
      <t>2</t>
    </r>
    <r>
      <rPr>
        <b/>
        <sz val="12"/>
        <rFont val="Arial Cyr"/>
        <charset val="204"/>
      </rPr>
      <t>*x4</t>
    </r>
  </si>
  <si>
    <r>
      <t>(y - y</t>
    </r>
    <r>
      <rPr>
        <b/>
        <vertAlign val="subscript"/>
        <sz val="12"/>
        <rFont val="Arial Cyr"/>
        <family val="2"/>
        <charset val="204"/>
      </rPr>
      <t>34</t>
    </r>
    <r>
      <rPr>
        <b/>
        <sz val="12"/>
        <rFont val="Arial Cyr"/>
        <family val="2"/>
        <charset val="204"/>
      </rPr>
      <t>)</t>
    </r>
    <r>
      <rPr>
        <b/>
        <vertAlign val="superscript"/>
        <sz val="12"/>
        <rFont val="Arial Cyr"/>
        <family val="2"/>
        <charset val="204"/>
      </rPr>
      <t>2</t>
    </r>
  </si>
  <si>
    <t>y12</t>
  </si>
  <si>
    <t>y14</t>
  </si>
  <si>
    <t>y23</t>
  </si>
  <si>
    <t>y24</t>
  </si>
  <si>
    <t>y34</t>
  </si>
  <si>
    <t>min</t>
  </si>
  <si>
    <t>Уравнение</t>
  </si>
  <si>
    <t>y=</t>
  </si>
  <si>
    <t>Исходные</t>
  </si>
  <si>
    <t>Полученные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</si>
</sst>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12"/>
      <name val="Arial Cyr"/>
      <charset val="204"/>
    </font>
    <font>
      <b/>
      <sz val="12"/>
      <name val="Symbol"/>
      <family val="1"/>
      <charset val="2"/>
    </font>
    <font>
      <b/>
      <i/>
      <sz val="12"/>
      <name val="Arial Cyr"/>
      <family val="2"/>
      <charset val="204"/>
    </font>
    <font>
      <b/>
      <vertAlign val="superscript"/>
      <sz val="12"/>
      <name val="Arial Cyr"/>
      <family val="2"/>
      <charset val="204"/>
    </font>
    <font>
      <b/>
      <vertAlign val="subscript"/>
      <sz val="12"/>
      <name val="Arial Cyr"/>
      <family val="2"/>
      <charset val="204"/>
    </font>
    <font>
      <sz val="12"/>
      <name val="Arial Cyr"/>
      <charset val="204"/>
    </font>
    <font>
      <b/>
      <i/>
      <vertAlign val="superscript"/>
      <sz val="12"/>
      <name val="Arial Cyr"/>
      <charset val="204"/>
    </font>
    <font>
      <b/>
      <vertAlign val="subscript"/>
      <sz val="12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6" borderId="1" xfId="0" applyFill="1" applyBorder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8" fillId="0" borderId="1" xfId="0" applyFont="1" applyBorder="1"/>
    <xf numFmtId="0" fontId="8" fillId="0" borderId="12" xfId="0" applyFont="1" applyBorder="1"/>
    <xf numFmtId="2" fontId="0" fillId="0" borderId="0" xfId="0" applyNumberFormat="1"/>
    <xf numFmtId="0" fontId="3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18" xfId="0" applyFont="1" applyBorder="1"/>
    <xf numFmtId="0" fontId="8" fillId="0" borderId="13" xfId="0" applyFont="1" applyBorder="1"/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Fill="1" applyBorder="1"/>
    <xf numFmtId="0" fontId="5" fillId="4" borderId="1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8" fillId="5" borderId="12" xfId="0" applyFont="1" applyFill="1" applyBorder="1"/>
    <xf numFmtId="0" fontId="5" fillId="5" borderId="11" xfId="0" applyFont="1" applyFill="1" applyBorder="1" applyAlignment="1">
      <alignment horizontal="center"/>
    </xf>
    <xf numFmtId="0" fontId="8" fillId="5" borderId="1" xfId="0" applyFont="1" applyFill="1" applyBorder="1"/>
    <xf numFmtId="0" fontId="5" fillId="7" borderId="11" xfId="0" applyFont="1" applyFill="1" applyBorder="1" applyAlignment="1">
      <alignment horizontal="center"/>
    </xf>
    <xf numFmtId="0" fontId="8" fillId="7" borderId="1" xfId="0" applyFont="1" applyFill="1" applyBorder="1"/>
    <xf numFmtId="0" fontId="8" fillId="7" borderId="12" xfId="0" applyFont="1" applyFill="1" applyBorder="1"/>
    <xf numFmtId="0" fontId="0" fillId="7" borderId="0" xfId="0" applyFill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Итог!$A$3:$A$14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Итог!$B$3:$B$14</c:f>
              <c:numCache>
                <c:formatCode>General</c:formatCode>
                <c:ptCount val="12"/>
                <c:pt idx="0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Итог!$A$3:$A$14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Итог!$C$3:$C$14</c:f>
              <c:numCache>
                <c:formatCode>General</c:formatCode>
                <c:ptCount val="12"/>
                <c:pt idx="0">
                  <c:v>1.2413238437253906</c:v>
                </c:pt>
                <c:pt idx="1">
                  <c:v>1.2944690689771177</c:v>
                </c:pt>
                <c:pt idx="2">
                  <c:v>0.73145019582233561</c:v>
                </c:pt>
                <c:pt idx="3">
                  <c:v>1.2430980586671105</c:v>
                </c:pt>
                <c:pt idx="4">
                  <c:v>1.2140997836979521</c:v>
                </c:pt>
                <c:pt idx="5">
                  <c:v>1.2506465312621795</c:v>
                </c:pt>
                <c:pt idx="6">
                  <c:v>1.1677374358871393</c:v>
                </c:pt>
                <c:pt idx="7">
                  <c:v>0.47931622538434415</c:v>
                </c:pt>
                <c:pt idx="8">
                  <c:v>1.2849477726160257</c:v>
                </c:pt>
                <c:pt idx="9">
                  <c:v>1.296597850380345</c:v>
                </c:pt>
                <c:pt idx="10">
                  <c:v>1.3608444037940504</c:v>
                </c:pt>
                <c:pt idx="11">
                  <c:v>0.68524628260474474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Итог!$A$3:$A$14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Итог!$D$3:$D$14</c:f>
              <c:numCache>
                <c:formatCode>General</c:formatCode>
                <c:ptCount val="12"/>
                <c:pt idx="0">
                  <c:v>0.90400000000000003</c:v>
                </c:pt>
                <c:pt idx="1">
                  <c:v>0.92200000000000004</c:v>
                </c:pt>
                <c:pt idx="2">
                  <c:v>0.76300000000000001</c:v>
                </c:pt>
                <c:pt idx="3">
                  <c:v>0.92300000000000004</c:v>
                </c:pt>
                <c:pt idx="4">
                  <c:v>0.91800000000000004</c:v>
                </c:pt>
                <c:pt idx="5">
                  <c:v>0.90600000000000003</c:v>
                </c:pt>
                <c:pt idx="6">
                  <c:v>0.90500000000000003</c:v>
                </c:pt>
                <c:pt idx="7">
                  <c:v>0.54500000000000004</c:v>
                </c:pt>
                <c:pt idx="8">
                  <c:v>0.89400000000000002</c:v>
                </c:pt>
                <c:pt idx="9">
                  <c:v>0.9</c:v>
                </c:pt>
                <c:pt idx="10">
                  <c:v>0.93200000000000005</c:v>
                </c:pt>
                <c:pt idx="11">
                  <c:v>0.74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591376"/>
        <c:axId val="599591768"/>
      </c:scatterChart>
      <c:valAx>
        <c:axId val="59959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9591768"/>
        <c:crosses val="autoZero"/>
        <c:crossBetween val="midCat"/>
      </c:valAx>
      <c:valAx>
        <c:axId val="59959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959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</xdr:row>
      <xdr:rowOff>119062</xdr:rowOff>
    </xdr:from>
    <xdr:to>
      <xdr:col>12</xdr:col>
      <xdr:colOff>495300</xdr:colOff>
      <xdr:row>17</xdr:row>
      <xdr:rowOff>4762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G2" sqref="G2:K13"/>
    </sheetView>
  </sheetViews>
  <sheetFormatPr defaultRowHeight="15" x14ac:dyDescent="0.25"/>
  <sheetData>
    <row r="1" spans="1:11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2" t="s">
        <v>45</v>
      </c>
      <c r="H1" s="32" t="s">
        <v>46</v>
      </c>
      <c r="I1" s="32" t="s">
        <v>47</v>
      </c>
      <c r="J1" s="32" t="s">
        <v>48</v>
      </c>
      <c r="K1" s="32" t="s">
        <v>49</v>
      </c>
    </row>
    <row r="2" spans="1:11" x14ac:dyDescent="0.25">
      <c r="A2" s="2">
        <v>1</v>
      </c>
      <c r="B2" s="2">
        <v>0.90400000000000003</v>
      </c>
      <c r="C2" s="2">
        <v>75.5</v>
      </c>
      <c r="D2" s="2">
        <v>25.2</v>
      </c>
      <c r="E2" s="2">
        <v>3343</v>
      </c>
      <c r="F2" s="2">
        <v>77</v>
      </c>
      <c r="G2" s="1">
        <f>'Уравнения регрессии 1 ряд'!J5</f>
        <v>-0.50184038520617824</v>
      </c>
      <c r="H2" s="1">
        <f>'Уравнения регрессии 1 ряд'!J41</f>
        <v>0.190658376965537</v>
      </c>
      <c r="I2" s="1">
        <f>'Уравнения регрессии 1 ряд'!J59</f>
        <v>1.5763812353967626</v>
      </c>
      <c r="J2" s="1">
        <f>'Уравнения регрессии 1 ряд'!J77</f>
        <v>0.95524397920655613</v>
      </c>
      <c r="K2" s="1">
        <f>'Уравнения регрессии 1 ряд'!J95</f>
        <v>0.90746343046101585</v>
      </c>
    </row>
    <row r="3" spans="1:11" x14ac:dyDescent="0.25">
      <c r="A3" s="2">
        <v>2</v>
      </c>
      <c r="B3" s="2">
        <v>0.92200000000000004</v>
      </c>
      <c r="C3" s="2">
        <v>78.5</v>
      </c>
      <c r="D3" s="2">
        <v>21.8</v>
      </c>
      <c r="E3" s="2">
        <v>3001</v>
      </c>
      <c r="F3" s="2">
        <v>78.2</v>
      </c>
      <c r="G3" s="1">
        <f>'Уравнения регрессии 1 ряд'!J6</f>
        <v>-0.49662110652010283</v>
      </c>
      <c r="H3" s="1">
        <f>'Уравнения регрессии 1 ряд'!J42</f>
        <v>0.20012848552330764</v>
      </c>
      <c r="I3" s="1">
        <f>'Уравнения регрессии 1 ряд'!J60</f>
        <v>1.5217824221156726</v>
      </c>
      <c r="J3" s="1">
        <f>'Уравнения регрессии 1 ряд'!J78</f>
        <v>0.97585181050301584</v>
      </c>
      <c r="K3" s="1">
        <f>'Уравнения регрессии 1 ряд'!J96</f>
        <v>0.93243738601549631</v>
      </c>
    </row>
    <row r="4" spans="1:11" x14ac:dyDescent="0.25">
      <c r="A4" s="2">
        <v>3</v>
      </c>
      <c r="B4" s="2">
        <v>0.76300000000000001</v>
      </c>
      <c r="C4" s="2">
        <v>78.400000000000006</v>
      </c>
      <c r="D4" s="2">
        <v>25.7</v>
      </c>
      <c r="E4" s="2">
        <v>3101</v>
      </c>
      <c r="F4" s="2">
        <v>68</v>
      </c>
      <c r="G4" s="1">
        <f>'Уравнения регрессии 1 ряд'!J7</f>
        <v>-0.53132691066272697</v>
      </c>
      <c r="H4" s="1">
        <f>'Уравнения регрессии 1 ряд'!J43</f>
        <v>2.066879355199891E-3</v>
      </c>
      <c r="I4" s="1">
        <f>'Уравнения регрессии 1 ряд'!J61</f>
        <v>1.5836155580054945</v>
      </c>
      <c r="J4" s="1">
        <f>'Уравнения регрессии 1 ряд'!J79</f>
        <v>0.7719197682850808</v>
      </c>
      <c r="K4" s="1">
        <f>'Уравнения регрессии 1 ряд'!J97</f>
        <v>0.71886291196525531</v>
      </c>
    </row>
    <row r="5" spans="1:11" x14ac:dyDescent="0.25">
      <c r="A5" s="2">
        <v>4</v>
      </c>
      <c r="B5" s="2">
        <v>0.92300000000000004</v>
      </c>
      <c r="C5" s="2">
        <v>77.7</v>
      </c>
      <c r="D5" s="2">
        <v>17.8</v>
      </c>
      <c r="E5" s="2">
        <v>3543</v>
      </c>
      <c r="F5" s="2">
        <v>77.2</v>
      </c>
      <c r="G5" s="1">
        <f>'Уравнения регрессии 1 ряд'!J8</f>
        <v>-0.45326744666055685</v>
      </c>
      <c r="H5" s="1">
        <f>'Уравнения регрессии 1 ряд'!J44</f>
        <v>0.18436815902860393</v>
      </c>
      <c r="I5" s="1">
        <f>'Уравнения регрессии 1 ряд'!J62</f>
        <v>1.4601167591160387</v>
      </c>
      <c r="J5" s="1">
        <f>'Уравнения регрессии 1 ряд'!J80</f>
        <v>0.95081605426183846</v>
      </c>
      <c r="K5" s="1">
        <f>'Уравнения регрессии 1 ряд'!J98</f>
        <v>0.91174440046305383</v>
      </c>
    </row>
    <row r="6" spans="1:11" x14ac:dyDescent="0.25">
      <c r="A6" s="2">
        <v>5</v>
      </c>
      <c r="B6" s="2">
        <v>0.91800000000000004</v>
      </c>
      <c r="C6" s="2">
        <v>84.4</v>
      </c>
      <c r="D6" s="2">
        <v>15.9</v>
      </c>
      <c r="E6" s="2">
        <v>3237</v>
      </c>
      <c r="F6" s="2">
        <v>77.2</v>
      </c>
      <c r="G6" s="1">
        <f>'Уравнения регрессии 1 ряд'!J9</f>
        <v>-0.49353039081893918</v>
      </c>
      <c r="H6" s="1">
        <f>'Уравнения регрессии 1 ряд'!J45</f>
        <v>0.1533567385970569</v>
      </c>
      <c r="I6" s="1">
        <f>'Уравнения регрессии 1 ряд'!J63</f>
        <v>1.4292932268482972</v>
      </c>
      <c r="J6" s="1">
        <f>'Уравнения регрессии 1 ряд'!J81</f>
        <v>0.94862987807078825</v>
      </c>
      <c r="K6" s="1">
        <f>'Уравнения регрессии 1 ряд'!J99</f>
        <v>0.91160313553174976</v>
      </c>
    </row>
    <row r="7" spans="1:11" x14ac:dyDescent="0.25">
      <c r="A7" s="2">
        <v>6</v>
      </c>
      <c r="B7" s="2">
        <v>0.90600000000000003</v>
      </c>
      <c r="C7" s="2">
        <v>75.900000000000006</v>
      </c>
      <c r="D7" s="2">
        <v>22.4</v>
      </c>
      <c r="E7" s="2">
        <v>3330</v>
      </c>
      <c r="F7" s="2">
        <v>77.2</v>
      </c>
      <c r="G7" s="1">
        <f>'Уравнения регрессии 1 ряд'!J10</f>
        <v>-0.47974447518133229</v>
      </c>
      <c r="H7" s="1">
        <f>'Уравнения регрессии 1 ряд'!J46</f>
        <v>0.19269958541319854</v>
      </c>
      <c r="I7" s="1">
        <f>'Уравнения регрессии 1 ряд'!J64</f>
        <v>1.5321481115927684</v>
      </c>
      <c r="J7" s="1">
        <f>'Уравнения регрессии 1 ряд'!J82</f>
        <v>0.9561089018822756</v>
      </c>
      <c r="K7" s="1">
        <f>'Уравнения регрессии 1 ряд'!J100</f>
        <v>0.91164606899126377</v>
      </c>
    </row>
    <row r="8" spans="1:11" x14ac:dyDescent="0.25">
      <c r="A8" s="2">
        <v>7</v>
      </c>
      <c r="B8" s="2">
        <v>0.90500000000000003</v>
      </c>
      <c r="C8" s="2">
        <v>76</v>
      </c>
      <c r="D8" s="2">
        <v>20.6</v>
      </c>
      <c r="E8" s="2">
        <v>3808</v>
      </c>
      <c r="F8" s="2">
        <v>75.7</v>
      </c>
      <c r="G8" s="1">
        <f>'Уравнения регрессии 1 ряд'!J11</f>
        <v>-0.46418924476885393</v>
      </c>
      <c r="H8" s="1">
        <f>'Уравнения регрессии 1 ряд'!J47</f>
        <v>0.16304195439338032</v>
      </c>
      <c r="I8" s="1">
        <f>'Уравнения регрессии 1 ряд'!J65</f>
        <v>1.505035214840194</v>
      </c>
      <c r="J8" s="1">
        <f>'Уравнения регрессии 1 ряд'!J83</f>
        <v>0.92338786752177815</v>
      </c>
      <c r="K8" s="1">
        <f>'Уравнения регрессии 1 ряд'!J101</f>
        <v>0.88045193787832954</v>
      </c>
    </row>
    <row r="9" spans="1:11" x14ac:dyDescent="0.25">
      <c r="A9" s="2">
        <v>8</v>
      </c>
      <c r="B9" s="2">
        <v>0.54500000000000004</v>
      </c>
      <c r="C9" s="2">
        <v>67.5</v>
      </c>
      <c r="D9" s="2">
        <v>25.2</v>
      </c>
      <c r="E9" s="2">
        <v>2415</v>
      </c>
      <c r="F9" s="2">
        <v>62.6</v>
      </c>
      <c r="G9" s="1">
        <f>'Уравнения регрессии 1 ряд'!J12</f>
        <v>-0.43307661956587695</v>
      </c>
      <c r="H9" s="1">
        <f>'Уравнения регрессии 1 ряд'!J48</f>
        <v>-5.2582891710293067E-2</v>
      </c>
      <c r="I9" s="1">
        <f>'Уравнения регрессии 1 ряд'!J66</f>
        <v>1.573857473405059</v>
      </c>
      <c r="J9" s="1">
        <f>'Уравнения регрессии 1 ряд'!J84</f>
        <v>0.66100474649385865</v>
      </c>
      <c r="K9" s="1">
        <f>'Уравнения регрессии 1 ряд'!J102</f>
        <v>0.60545294049247489</v>
      </c>
    </row>
    <row r="10" spans="1:11" x14ac:dyDescent="0.25">
      <c r="A10" s="2">
        <v>9</v>
      </c>
      <c r="B10" s="2">
        <v>0.89400000000000002</v>
      </c>
      <c r="C10" s="2">
        <v>78.2</v>
      </c>
      <c r="D10" s="2">
        <v>20.7</v>
      </c>
      <c r="E10" s="2">
        <v>3295</v>
      </c>
      <c r="F10" s="2">
        <v>78</v>
      </c>
      <c r="G10" s="1">
        <f>'Уравнения регрессии 1 ряд'!J13</f>
        <v>-0.48401121240232464</v>
      </c>
      <c r="H10" s="1">
        <f>'Уравнения регрессии 1 ряд'!J49</f>
        <v>0.1976244200542796</v>
      </c>
      <c r="I10" s="1">
        <f>'Уравнения регрессии 1 ряд'!J67</f>
        <v>1.5052185666234212</v>
      </c>
      <c r="J10" s="1">
        <f>'Уравнения регрессии 1 ряд'!J85</f>
        <v>0.97049947354040389</v>
      </c>
      <c r="K10" s="1">
        <f>'Уравнения регрессии 1 ряд'!J103</f>
        <v>0.9283844711639947</v>
      </c>
    </row>
    <row r="11" spans="1:11" x14ac:dyDescent="0.25">
      <c r="A11" s="2">
        <v>10</v>
      </c>
      <c r="B11" s="2">
        <v>0.9</v>
      </c>
      <c r="C11" s="2">
        <v>78.099999999999994</v>
      </c>
      <c r="D11" s="2">
        <v>17.5</v>
      </c>
      <c r="E11" s="2">
        <v>3504</v>
      </c>
      <c r="F11" s="2">
        <v>78.2</v>
      </c>
      <c r="G11" s="1">
        <f>'Уравнения регрессии 1 ряд'!J14</f>
        <v>-0.45396983869540819</v>
      </c>
      <c r="H11" s="1">
        <f>'Уравнения регрессии 1 ряд'!J50</f>
        <v>0.20197991360877321</v>
      </c>
      <c r="I11" s="1">
        <f>'Уравнения регрессии 1 ряд'!J68</f>
        <v>1.4552752205520154</v>
      </c>
      <c r="J11" s="1">
        <f>'Уравнения регрессии 1 ряд'!J86</f>
        <v>0.97090414859695495</v>
      </c>
      <c r="K11" s="1">
        <f>'Уравнения регрессии 1 ряд'!J104</f>
        <v>0.93266959601695365</v>
      </c>
    </row>
    <row r="12" spans="1:11" x14ac:dyDescent="0.25">
      <c r="A12" s="2">
        <v>11</v>
      </c>
      <c r="B12" s="2">
        <v>0.93200000000000005</v>
      </c>
      <c r="C12" s="2">
        <v>78.599999999999994</v>
      </c>
      <c r="D12" s="2">
        <v>19.7</v>
      </c>
      <c r="E12" s="2">
        <v>30565</v>
      </c>
      <c r="F12" s="2">
        <v>79</v>
      </c>
      <c r="G12" s="1">
        <f>'Уравнения регрессии 1 ряд'!J15</f>
        <v>-0.47833007986046072</v>
      </c>
      <c r="H12" s="1">
        <f>'Уравнения регрессии 1 ряд'!J51</f>
        <v>0.21523617463444888</v>
      </c>
      <c r="I12" s="1">
        <f>'Уравнения регрессии 1 ряд'!J69</f>
        <v>1.5635963532052795</v>
      </c>
      <c r="J12" s="1">
        <f>'Уравнения регрессии 1 ряд'!J87</f>
        <v>0.98978213454197561</v>
      </c>
      <c r="K12" s="1">
        <f>'Уравнения регрессии 1 ряд'!J105</f>
        <v>0.96191686936162513</v>
      </c>
    </row>
    <row r="13" spans="1:11" x14ac:dyDescent="0.25">
      <c r="A13" s="2">
        <v>12</v>
      </c>
      <c r="B13" s="2">
        <v>0.74</v>
      </c>
      <c r="C13" s="2">
        <v>84</v>
      </c>
      <c r="D13" s="2">
        <v>18.5</v>
      </c>
      <c r="E13" s="2">
        <v>3007</v>
      </c>
      <c r="F13" s="2">
        <v>67.599999999999994</v>
      </c>
      <c r="G13" s="1">
        <f>'Уравнения регрессии 1 ряд'!J16</f>
        <v>-0.51380243667900927</v>
      </c>
      <c r="H13" s="1">
        <f>'Уравнения регрессии 1 ряд'!J52</f>
        <v>-3.1638386907570926E-2</v>
      </c>
      <c r="I13" s="1">
        <f>'Уравнения регрессии 1 ряд'!J70</f>
        <v>1.4697085113450263</v>
      </c>
      <c r="J13" s="1">
        <f>'Уравнения регрессии 1 ряд'!J88</f>
        <v>0.75546199912025136</v>
      </c>
      <c r="K13" s="1">
        <f>'Уравнения регрессии 1 ряд'!J106</f>
        <v>0.7104422368924832</v>
      </c>
    </row>
    <row r="14" spans="1:11" x14ac:dyDescent="0.25">
      <c r="A14" s="3">
        <v>13</v>
      </c>
      <c r="B14" s="3">
        <v>0.70099999999999996</v>
      </c>
      <c r="C14" s="3">
        <v>59.2</v>
      </c>
      <c r="D14" s="3">
        <v>54.4</v>
      </c>
      <c r="E14" s="3">
        <v>2844</v>
      </c>
      <c r="F14" s="3">
        <v>69.8</v>
      </c>
    </row>
    <row r="15" spans="1:11" x14ac:dyDescent="0.25">
      <c r="A15" s="3">
        <v>14</v>
      </c>
      <c r="B15" s="3">
        <v>0.74399999999999999</v>
      </c>
      <c r="C15" s="3">
        <v>90.2</v>
      </c>
      <c r="D15" s="3">
        <v>23</v>
      </c>
      <c r="E15" s="3">
        <v>2861</v>
      </c>
      <c r="F15" s="3">
        <v>68.400000000000006</v>
      </c>
    </row>
    <row r="16" spans="1:11" x14ac:dyDescent="0.25">
      <c r="A16" s="3">
        <v>15</v>
      </c>
      <c r="B16" s="3">
        <v>0.92100000000000004</v>
      </c>
      <c r="C16" s="3">
        <v>72.8</v>
      </c>
      <c r="D16" s="3">
        <v>20.2</v>
      </c>
      <c r="E16" s="3">
        <v>3259</v>
      </c>
      <c r="F16" s="3">
        <v>77.900000000000006</v>
      </c>
    </row>
    <row r="17" spans="1:6" x14ac:dyDescent="0.25">
      <c r="A17" s="3">
        <v>16</v>
      </c>
      <c r="B17" s="3">
        <v>0.92700000000000005</v>
      </c>
      <c r="C17" s="3">
        <v>67.7</v>
      </c>
      <c r="D17" s="3">
        <v>25.2</v>
      </c>
      <c r="E17" s="3">
        <v>3350</v>
      </c>
      <c r="F17" s="3">
        <v>78.099999999999994</v>
      </c>
    </row>
    <row r="18" spans="1:6" x14ac:dyDescent="0.25">
      <c r="A18" s="3">
        <v>17</v>
      </c>
      <c r="B18" s="3">
        <v>0.80200000000000005</v>
      </c>
      <c r="C18" s="3">
        <v>82.6</v>
      </c>
      <c r="D18" s="3">
        <v>22.4</v>
      </c>
      <c r="E18" s="3">
        <v>3344</v>
      </c>
      <c r="F18" s="3">
        <v>72.5</v>
      </c>
    </row>
    <row r="19" spans="1:6" x14ac:dyDescent="0.25">
      <c r="A19" s="3">
        <v>18</v>
      </c>
      <c r="B19" s="3">
        <v>0.747</v>
      </c>
      <c r="C19" s="3">
        <v>74.400000000000006</v>
      </c>
      <c r="D19" s="3">
        <v>22.7</v>
      </c>
      <c r="E19" s="3">
        <v>2704</v>
      </c>
      <c r="F19" s="3">
        <v>66.599999999999994</v>
      </c>
    </row>
    <row r="20" spans="1:6" x14ac:dyDescent="0.25">
      <c r="A20" s="3">
        <v>19</v>
      </c>
      <c r="B20" s="3">
        <v>0.92700000000000005</v>
      </c>
      <c r="C20" s="3">
        <v>83.3</v>
      </c>
      <c r="D20" s="3">
        <v>18.100000000000001</v>
      </c>
      <c r="E20" s="3">
        <v>3642</v>
      </c>
      <c r="F20" s="3">
        <v>76.7</v>
      </c>
    </row>
    <row r="21" spans="1:6" x14ac:dyDescent="0.25">
      <c r="A21" s="3">
        <v>20</v>
      </c>
      <c r="B21" s="3">
        <v>0.72099999999999997</v>
      </c>
      <c r="C21" s="3">
        <v>83.7</v>
      </c>
      <c r="D21" s="3">
        <v>20.100000000000001</v>
      </c>
      <c r="E21" s="3">
        <v>2753</v>
      </c>
      <c r="F21" s="3">
        <v>68.8</v>
      </c>
    </row>
    <row r="22" spans="1:6" x14ac:dyDescent="0.25">
      <c r="A22" s="4">
        <v>21</v>
      </c>
      <c r="B22" s="4">
        <v>0.91300000000000003</v>
      </c>
      <c r="C22" s="4">
        <v>73.8</v>
      </c>
      <c r="D22" s="4">
        <v>17.3</v>
      </c>
      <c r="E22" s="4">
        <v>2916</v>
      </c>
      <c r="F22" s="4">
        <v>76.8</v>
      </c>
    </row>
    <row r="23" spans="1:6" x14ac:dyDescent="0.25">
      <c r="A23" s="4">
        <v>22</v>
      </c>
      <c r="B23" s="4">
        <v>0.91800000000000004</v>
      </c>
      <c r="C23" s="4">
        <v>79.2</v>
      </c>
      <c r="D23" s="4">
        <v>16.8</v>
      </c>
      <c r="E23" s="4">
        <v>3551</v>
      </c>
      <c r="F23" s="4">
        <v>78.099999999999994</v>
      </c>
    </row>
    <row r="24" spans="1:6" x14ac:dyDescent="0.25">
      <c r="A24" s="4">
        <v>23</v>
      </c>
      <c r="B24" s="4">
        <v>0.83299999999999996</v>
      </c>
      <c r="C24" s="4">
        <v>71.5</v>
      </c>
      <c r="D24" s="4">
        <v>29.9</v>
      </c>
      <c r="E24" s="4">
        <v>3177</v>
      </c>
      <c r="F24" s="4">
        <v>73.900000000000006</v>
      </c>
    </row>
    <row r="25" spans="1:6" x14ac:dyDescent="0.25">
      <c r="A25" s="4">
        <v>24</v>
      </c>
      <c r="B25" s="4">
        <v>0.91400000000000003</v>
      </c>
      <c r="C25" s="4">
        <v>75.3</v>
      </c>
      <c r="D25" s="4">
        <v>20.3</v>
      </c>
      <c r="E25" s="4">
        <v>3280</v>
      </c>
      <c r="F25" s="4">
        <v>78.599999999999994</v>
      </c>
    </row>
    <row r="26" spans="1:6" x14ac:dyDescent="0.25">
      <c r="A26" s="4">
        <v>25</v>
      </c>
      <c r="B26" s="4">
        <v>0.92300000000000004</v>
      </c>
      <c r="C26" s="4">
        <v>79</v>
      </c>
      <c r="D26" s="4">
        <v>14.1</v>
      </c>
      <c r="E26" s="4">
        <v>3160</v>
      </c>
      <c r="F26" s="4">
        <v>78.5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"/>
  <sheetViews>
    <sheetView topLeftCell="A82" workbookViewId="0">
      <selection activeCell="E92" sqref="E92:K92"/>
    </sheetView>
  </sheetViews>
  <sheetFormatPr defaultRowHeight="15" x14ac:dyDescent="0.25"/>
  <cols>
    <col min="1" max="9" width="10.7109375" customWidth="1"/>
    <col min="10" max="10" width="20.7109375" customWidth="1"/>
    <col min="11" max="20" width="10.7109375" customWidth="1"/>
  </cols>
  <sheetData>
    <row r="1" spans="1:20" ht="15.75" thickBot="1" x14ac:dyDescent="0.3">
      <c r="A1">
        <v>1</v>
      </c>
    </row>
    <row r="2" spans="1:20" ht="15" customHeight="1" thickBot="1" x14ac:dyDescent="0.3">
      <c r="B2" s="5" t="s">
        <v>6</v>
      </c>
      <c r="C2" s="18"/>
      <c r="D2" s="6"/>
      <c r="E2" s="7" t="s">
        <v>7</v>
      </c>
      <c r="F2" s="8"/>
      <c r="G2" s="8"/>
      <c r="H2" s="8"/>
      <c r="I2" s="8"/>
      <c r="J2" s="8"/>
      <c r="K2" s="9"/>
      <c r="M2" s="23" t="s">
        <v>11</v>
      </c>
      <c r="N2" s="14">
        <f>C17</f>
        <v>932.80000000000007</v>
      </c>
      <c r="O2" s="14">
        <f>D17</f>
        <v>250.99999999999997</v>
      </c>
      <c r="P2" s="27">
        <f>B17</f>
        <v>10.252000000000001</v>
      </c>
      <c r="Q2" s="28">
        <f>(N2*O3*P4+O2*N4*P3+N3*O4*P2)-(P2*O3*N4+O2*N3*P4+P3*O4*N2)</f>
        <v>58862.925672531128</v>
      </c>
      <c r="S2" s="1" t="s">
        <v>50</v>
      </c>
      <c r="T2" s="1">
        <f>P106</f>
        <v>8.7866196418101702E-4</v>
      </c>
    </row>
    <row r="3" spans="1:20" ht="15.75" customHeight="1" thickBot="1" x14ac:dyDescent="0.3">
      <c r="B3" s="10"/>
      <c r="C3" s="19"/>
      <c r="D3" s="11"/>
      <c r="E3" s="20" t="s">
        <v>8</v>
      </c>
      <c r="F3" s="21"/>
      <c r="G3" s="21"/>
      <c r="H3" s="21"/>
      <c r="I3" s="22"/>
      <c r="J3" s="7" t="s">
        <v>9</v>
      </c>
      <c r="K3" s="9"/>
      <c r="L3" s="16"/>
      <c r="M3" s="24"/>
      <c r="N3" s="14">
        <f>E17</f>
        <v>72711.58</v>
      </c>
      <c r="O3" s="14">
        <f>G17</f>
        <v>19408.469999999998</v>
      </c>
      <c r="P3" s="27">
        <f>H17</f>
        <v>799.59339999999986</v>
      </c>
      <c r="Q3" s="29"/>
    </row>
    <row r="4" spans="1:20" ht="21" thickBot="1" x14ac:dyDescent="0.4">
      <c r="B4" s="12" t="s">
        <v>0</v>
      </c>
      <c r="C4" s="12" t="s">
        <v>1</v>
      </c>
      <c r="D4" s="12" t="s">
        <v>2</v>
      </c>
      <c r="E4" s="12" t="s">
        <v>17</v>
      </c>
      <c r="F4" s="12" t="s">
        <v>19</v>
      </c>
      <c r="G4" s="12" t="s">
        <v>18</v>
      </c>
      <c r="H4" s="12" t="s">
        <v>21</v>
      </c>
      <c r="I4" s="12" t="s">
        <v>22</v>
      </c>
      <c r="J4" s="17" t="s">
        <v>26</v>
      </c>
      <c r="K4" s="12" t="s">
        <v>20</v>
      </c>
      <c r="L4" s="16"/>
      <c r="M4" s="25"/>
      <c r="N4" s="14">
        <f>G17</f>
        <v>19408.469999999998</v>
      </c>
      <c r="O4" s="14">
        <f>F17</f>
        <v>5366.66</v>
      </c>
      <c r="P4" s="27">
        <f>I17</f>
        <v>212.49269999999999</v>
      </c>
      <c r="Q4" s="30"/>
    </row>
    <row r="5" spans="1:20" ht="15.75" x14ac:dyDescent="0.25">
      <c r="B5" s="14">
        <f>'Исходные данные'!B2</f>
        <v>0.90400000000000003</v>
      </c>
      <c r="C5" s="14">
        <f>'Исходные данные'!C2</f>
        <v>75.5</v>
      </c>
      <c r="D5" s="14">
        <f>'Исходные данные'!D2</f>
        <v>25.2</v>
      </c>
      <c r="E5" s="14">
        <f>C5*C5</f>
        <v>5700.25</v>
      </c>
      <c r="F5" s="14">
        <f>D5*D5</f>
        <v>635.04</v>
      </c>
      <c r="G5" s="14">
        <f>C5*D5</f>
        <v>1902.6</v>
      </c>
      <c r="H5" s="14">
        <f>B5*C5</f>
        <v>68.251999999999995</v>
      </c>
      <c r="I5" s="14">
        <f>B5*D5</f>
        <v>22.780799999999999</v>
      </c>
      <c r="J5" s="14">
        <f>$M$16+$N$16*C5+$O$16*D5</f>
        <v>-0.50184038520617824</v>
      </c>
      <c r="K5" s="14">
        <f>(B5-J5)*(B5-J5)</f>
        <v>1.9763871886766557</v>
      </c>
      <c r="M5" s="23" t="s">
        <v>12</v>
      </c>
      <c r="N5" s="14">
        <f>COUNT(B5:B16)</f>
        <v>12</v>
      </c>
      <c r="O5" s="14">
        <f>D17</f>
        <v>250.99999999999997</v>
      </c>
      <c r="P5" s="14">
        <f>B17</f>
        <v>10.252000000000001</v>
      </c>
      <c r="Q5" s="28">
        <f>(N5*O6*P7+O5*N7*P6+N6*O7*P5)-(P5*O6*N7+O5*N6*P7+P6*O7*N5)</f>
        <v>-1342.323204010725</v>
      </c>
    </row>
    <row r="6" spans="1:20" ht="15.75" x14ac:dyDescent="0.25">
      <c r="B6" s="14">
        <f>'Исходные данные'!B3</f>
        <v>0.92200000000000004</v>
      </c>
      <c r="C6" s="14">
        <f>'Исходные данные'!C3</f>
        <v>78.5</v>
      </c>
      <c r="D6" s="14">
        <f>'Исходные данные'!D3</f>
        <v>21.8</v>
      </c>
      <c r="E6" s="14">
        <f t="shared" ref="E6:E16" si="0">C6*C6</f>
        <v>6162.25</v>
      </c>
      <c r="F6" s="14">
        <f t="shared" ref="F6:F16" si="1">D6*D6</f>
        <v>475.24</v>
      </c>
      <c r="G6" s="14">
        <f t="shared" ref="G6:G16" si="2">C6*D6</f>
        <v>1711.3</v>
      </c>
      <c r="H6" s="14">
        <f t="shared" ref="H6:H16" si="3">B6*C6</f>
        <v>72.37700000000001</v>
      </c>
      <c r="I6" s="14">
        <f t="shared" ref="I6:I16" si="4">B6*D6</f>
        <v>20.099600000000002</v>
      </c>
      <c r="J6" s="14">
        <f t="shared" ref="J6:J16" si="5">$M$16+$N$16*C6+$O$16*D6</f>
        <v>-0.49662110652010283</v>
      </c>
      <c r="K6" s="14">
        <f t="shared" ref="K6:K16" si="6">(B6-J6)*(B6-J6)</f>
        <v>2.0124858438643209</v>
      </c>
      <c r="M6" s="24"/>
      <c r="N6" s="14">
        <f>C17</f>
        <v>932.80000000000007</v>
      </c>
      <c r="O6" s="14">
        <f>G17</f>
        <v>19408.469999999998</v>
      </c>
      <c r="P6" s="14">
        <f>H17</f>
        <v>799.59339999999986</v>
      </c>
      <c r="Q6" s="29"/>
    </row>
    <row r="7" spans="1:20" ht="16.5" thickBot="1" x14ac:dyDescent="0.3">
      <c r="B7" s="14">
        <f>'Исходные данные'!B4</f>
        <v>0.76300000000000001</v>
      </c>
      <c r="C7" s="14">
        <f>'Исходные данные'!C4</f>
        <v>78.400000000000006</v>
      </c>
      <c r="D7" s="14">
        <f>'Исходные данные'!D4</f>
        <v>25.7</v>
      </c>
      <c r="E7" s="14">
        <f t="shared" si="0"/>
        <v>6146.5600000000013</v>
      </c>
      <c r="F7" s="14">
        <f t="shared" si="1"/>
        <v>660.49</v>
      </c>
      <c r="G7" s="14">
        <f t="shared" si="2"/>
        <v>2014.88</v>
      </c>
      <c r="H7" s="14">
        <f t="shared" si="3"/>
        <v>59.819200000000002</v>
      </c>
      <c r="I7" s="14">
        <f t="shared" si="4"/>
        <v>19.609100000000002</v>
      </c>
      <c r="J7" s="14">
        <f t="shared" si="5"/>
        <v>-0.53132691066272697</v>
      </c>
      <c r="K7" s="14">
        <f t="shared" si="6"/>
        <v>1.6752821516657186</v>
      </c>
      <c r="L7" s="16"/>
      <c r="M7" s="25"/>
      <c r="N7" s="14">
        <f>D17</f>
        <v>250.99999999999997</v>
      </c>
      <c r="O7" s="14">
        <f>F17</f>
        <v>5366.66</v>
      </c>
      <c r="P7" s="14">
        <f>I17</f>
        <v>212.49269999999999</v>
      </c>
      <c r="Q7" s="30"/>
    </row>
    <row r="8" spans="1:20" ht="15.75" x14ac:dyDescent="0.25">
      <c r="B8" s="14">
        <f>'Исходные данные'!B5</f>
        <v>0.92300000000000004</v>
      </c>
      <c r="C8" s="14">
        <f>'Исходные данные'!C5</f>
        <v>77.7</v>
      </c>
      <c r="D8" s="14">
        <f>'Исходные данные'!D5</f>
        <v>17.8</v>
      </c>
      <c r="E8" s="14">
        <f t="shared" si="0"/>
        <v>6037.2900000000009</v>
      </c>
      <c r="F8" s="14">
        <f t="shared" si="1"/>
        <v>316.84000000000003</v>
      </c>
      <c r="G8" s="14">
        <f t="shared" si="2"/>
        <v>1383.0600000000002</v>
      </c>
      <c r="H8" s="14">
        <f t="shared" si="3"/>
        <v>71.717100000000002</v>
      </c>
      <c r="I8" s="14">
        <f t="shared" si="4"/>
        <v>16.429400000000001</v>
      </c>
      <c r="J8" s="14">
        <f t="shared" si="5"/>
        <v>-0.45326744666055685</v>
      </c>
      <c r="K8" s="14">
        <f t="shared" si="6"/>
        <v>1.8941120847375688</v>
      </c>
      <c r="M8" s="23" t="s">
        <v>23</v>
      </c>
      <c r="N8" s="14">
        <f>COUNT(B5:B16)</f>
        <v>12</v>
      </c>
      <c r="O8" s="14">
        <f>C17</f>
        <v>932.80000000000007</v>
      </c>
      <c r="P8" s="14">
        <f>B17</f>
        <v>10.252000000000001</v>
      </c>
      <c r="Q8" s="28">
        <f t="shared" ref="Q8" si="7">(N8*O9*P10+O8*N10*P9+N9*O10*P8)-(P8*O9*N10+O8*N9*P10+P9*O10*N8)</f>
        <v>-1424.1309599876404</v>
      </c>
    </row>
    <row r="9" spans="1:20" ht="15.75" x14ac:dyDescent="0.25">
      <c r="B9" s="14">
        <f>'Исходные данные'!B6</f>
        <v>0.91800000000000004</v>
      </c>
      <c r="C9" s="14">
        <f>'Исходные данные'!C6</f>
        <v>84.4</v>
      </c>
      <c r="D9" s="14">
        <f>'Исходные данные'!D6</f>
        <v>15.9</v>
      </c>
      <c r="E9" s="14">
        <f t="shared" si="0"/>
        <v>7123.3600000000006</v>
      </c>
      <c r="F9" s="14">
        <f t="shared" si="1"/>
        <v>252.81</v>
      </c>
      <c r="G9" s="14">
        <f t="shared" si="2"/>
        <v>1341.96</v>
      </c>
      <c r="H9" s="14">
        <f t="shared" si="3"/>
        <v>77.479200000000006</v>
      </c>
      <c r="I9" s="14">
        <f t="shared" si="4"/>
        <v>14.596200000000001</v>
      </c>
      <c r="J9" s="14">
        <f t="shared" si="5"/>
        <v>-0.49353039081893918</v>
      </c>
      <c r="K9" s="14">
        <f t="shared" si="6"/>
        <v>1.9924180442054671</v>
      </c>
      <c r="M9" s="24"/>
      <c r="N9" s="14">
        <f>C17</f>
        <v>932.80000000000007</v>
      </c>
      <c r="O9" s="14">
        <f>E17</f>
        <v>72711.58</v>
      </c>
      <c r="P9" s="14">
        <f>H17</f>
        <v>799.59339999999986</v>
      </c>
      <c r="Q9" s="29"/>
    </row>
    <row r="10" spans="1:20" ht="16.5" thickBot="1" x14ac:dyDescent="0.3">
      <c r="B10" s="14">
        <f>'Исходные данные'!B7</f>
        <v>0.90600000000000003</v>
      </c>
      <c r="C10" s="14">
        <f>'Исходные данные'!C7</f>
        <v>75.900000000000006</v>
      </c>
      <c r="D10" s="14">
        <f>'Исходные данные'!D7</f>
        <v>22.4</v>
      </c>
      <c r="E10" s="14">
        <f t="shared" si="0"/>
        <v>5760.8100000000013</v>
      </c>
      <c r="F10" s="14">
        <f t="shared" si="1"/>
        <v>501.75999999999993</v>
      </c>
      <c r="G10" s="14">
        <f t="shared" si="2"/>
        <v>1700.16</v>
      </c>
      <c r="H10" s="14">
        <f t="shared" si="3"/>
        <v>68.765400000000014</v>
      </c>
      <c r="I10" s="14">
        <f t="shared" si="4"/>
        <v>20.2944</v>
      </c>
      <c r="J10" s="14">
        <f t="shared" si="5"/>
        <v>-0.47974447518133229</v>
      </c>
      <c r="K10" s="14">
        <f t="shared" si="6"/>
        <v>1.9202877504955862</v>
      </c>
      <c r="L10" s="16"/>
      <c r="M10" s="25"/>
      <c r="N10" s="14">
        <f>D17</f>
        <v>250.99999999999997</v>
      </c>
      <c r="O10" s="14">
        <f>G17</f>
        <v>19408.469999999998</v>
      </c>
      <c r="P10" s="14">
        <f>I17</f>
        <v>212.49269999999999</v>
      </c>
      <c r="Q10" s="30"/>
    </row>
    <row r="11" spans="1:20" ht="15.75" x14ac:dyDescent="0.25">
      <c r="B11" s="14">
        <f>'Исходные данные'!B8</f>
        <v>0.90500000000000003</v>
      </c>
      <c r="C11" s="14">
        <f>'Исходные данные'!C8</f>
        <v>76</v>
      </c>
      <c r="D11" s="14">
        <f>'Исходные данные'!D8</f>
        <v>20.6</v>
      </c>
      <c r="E11" s="14">
        <f t="shared" si="0"/>
        <v>5776</v>
      </c>
      <c r="F11" s="14">
        <f t="shared" si="1"/>
        <v>424.36000000000007</v>
      </c>
      <c r="G11" s="14">
        <f t="shared" si="2"/>
        <v>1565.6000000000001</v>
      </c>
      <c r="H11" s="14">
        <f t="shared" si="3"/>
        <v>68.78</v>
      </c>
      <c r="I11" s="14">
        <f t="shared" si="4"/>
        <v>18.643000000000001</v>
      </c>
      <c r="J11" s="14">
        <f t="shared" si="5"/>
        <v>-0.46418924476885393</v>
      </c>
      <c r="K11" s="14">
        <f t="shared" si="6"/>
        <v>1.874679187990705</v>
      </c>
      <c r="M11" s="24" t="s">
        <v>13</v>
      </c>
      <c r="N11" s="14">
        <f>COUNT(B5:B16)</f>
        <v>12</v>
      </c>
      <c r="O11" s="14">
        <f>C17</f>
        <v>932.80000000000007</v>
      </c>
      <c r="P11" s="14">
        <f>D17</f>
        <v>250.99999999999997</v>
      </c>
      <c r="Q11" s="28">
        <f t="shared" ref="Q11" si="8">(N11*O12*P13+O11*N13*P12+N12*O13*P11)-(P11*O12*N13+O11*N12*P13+P12*O13*N11)</f>
        <v>156166.34039878845</v>
      </c>
    </row>
    <row r="12" spans="1:20" ht="15.75" x14ac:dyDescent="0.25">
      <c r="B12" s="14">
        <f>'Исходные данные'!B9</f>
        <v>0.54500000000000004</v>
      </c>
      <c r="C12" s="14">
        <f>'Исходные данные'!C9</f>
        <v>67.5</v>
      </c>
      <c r="D12" s="14">
        <f>'Исходные данные'!D9</f>
        <v>25.2</v>
      </c>
      <c r="E12" s="14">
        <f t="shared" si="0"/>
        <v>4556.25</v>
      </c>
      <c r="F12" s="14">
        <f t="shared" si="1"/>
        <v>635.04</v>
      </c>
      <c r="G12" s="14">
        <f t="shared" si="2"/>
        <v>1701</v>
      </c>
      <c r="H12" s="14">
        <f t="shared" si="3"/>
        <v>36.787500000000001</v>
      </c>
      <c r="I12" s="14">
        <f t="shared" si="4"/>
        <v>13.734</v>
      </c>
      <c r="J12" s="14">
        <f t="shared" si="5"/>
        <v>-0.43307661956587695</v>
      </c>
      <c r="K12" s="14">
        <f t="shared" si="6"/>
        <v>0.95663387374141329</v>
      </c>
      <c r="M12" s="24"/>
      <c r="N12" s="14">
        <f>C17</f>
        <v>932.80000000000007</v>
      </c>
      <c r="O12" s="14">
        <f>E17</f>
        <v>72711.58</v>
      </c>
      <c r="P12" s="14">
        <f>G17</f>
        <v>19408.469999999998</v>
      </c>
      <c r="Q12" s="29"/>
    </row>
    <row r="13" spans="1:20" ht="16.5" thickBot="1" x14ac:dyDescent="0.3">
      <c r="B13" s="14">
        <f>'Исходные данные'!B10</f>
        <v>0.89400000000000002</v>
      </c>
      <c r="C13" s="14">
        <f>'Исходные данные'!C10</f>
        <v>78.2</v>
      </c>
      <c r="D13" s="14">
        <f>'Исходные данные'!D10</f>
        <v>20.7</v>
      </c>
      <c r="E13" s="14">
        <f t="shared" si="0"/>
        <v>6115.2400000000007</v>
      </c>
      <c r="F13" s="14">
        <f t="shared" si="1"/>
        <v>428.48999999999995</v>
      </c>
      <c r="G13" s="14">
        <f t="shared" si="2"/>
        <v>1618.74</v>
      </c>
      <c r="H13" s="14">
        <f t="shared" si="3"/>
        <v>69.910800000000009</v>
      </c>
      <c r="I13" s="14">
        <f t="shared" si="4"/>
        <v>18.505800000000001</v>
      </c>
      <c r="J13" s="14">
        <f t="shared" si="5"/>
        <v>-0.48401121240232464</v>
      </c>
      <c r="K13" s="14">
        <f t="shared" si="6"/>
        <v>1.898914901506525</v>
      </c>
      <c r="M13" s="25"/>
      <c r="N13" s="14">
        <f>D17</f>
        <v>250.99999999999997</v>
      </c>
      <c r="O13" s="14">
        <f>G17</f>
        <v>19408.469999999998</v>
      </c>
      <c r="P13" s="14">
        <f>F17</f>
        <v>5366.66</v>
      </c>
      <c r="Q13" s="30"/>
    </row>
    <row r="14" spans="1:20" ht="15.75" x14ac:dyDescent="0.25">
      <c r="B14" s="14">
        <f>'Исходные данные'!B11</f>
        <v>0.9</v>
      </c>
      <c r="C14" s="14">
        <f>'Исходные данные'!C11</f>
        <v>78.099999999999994</v>
      </c>
      <c r="D14" s="14">
        <f>'Исходные данные'!D11</f>
        <v>17.5</v>
      </c>
      <c r="E14" s="14">
        <f t="shared" si="0"/>
        <v>6099.6099999999988</v>
      </c>
      <c r="F14" s="14">
        <f t="shared" si="1"/>
        <v>306.25</v>
      </c>
      <c r="G14" s="14">
        <f t="shared" si="2"/>
        <v>1366.75</v>
      </c>
      <c r="H14" s="14">
        <f t="shared" si="3"/>
        <v>70.289999999999992</v>
      </c>
      <c r="I14" s="14">
        <f t="shared" si="4"/>
        <v>15.75</v>
      </c>
      <c r="J14" s="14">
        <f t="shared" si="5"/>
        <v>-0.45396983869540819</v>
      </c>
      <c r="K14" s="14">
        <f t="shared" si="6"/>
        <v>1.8332343240968698</v>
      </c>
    </row>
    <row r="15" spans="1:20" ht="16.5" thickBot="1" x14ac:dyDescent="0.3">
      <c r="B15" s="14">
        <f>'Исходные данные'!B12</f>
        <v>0.93200000000000005</v>
      </c>
      <c r="C15" s="14">
        <f>'Исходные данные'!C12</f>
        <v>78.599999999999994</v>
      </c>
      <c r="D15" s="14">
        <f>'Исходные данные'!D12</f>
        <v>19.7</v>
      </c>
      <c r="E15" s="14">
        <f t="shared" si="0"/>
        <v>6177.9599999999991</v>
      </c>
      <c r="F15" s="14">
        <f t="shared" si="1"/>
        <v>388.09</v>
      </c>
      <c r="G15" s="14">
        <f t="shared" si="2"/>
        <v>1548.4199999999998</v>
      </c>
      <c r="H15" s="14">
        <f t="shared" si="3"/>
        <v>73.255200000000002</v>
      </c>
      <c r="I15" s="14">
        <f t="shared" si="4"/>
        <v>18.360400000000002</v>
      </c>
      <c r="J15" s="14">
        <f t="shared" si="5"/>
        <v>-0.47833007986046072</v>
      </c>
      <c r="K15" s="14">
        <f t="shared" si="6"/>
        <v>1.9890309341592136</v>
      </c>
      <c r="M15" s="31" t="s">
        <v>24</v>
      </c>
      <c r="N15" s="31" t="s">
        <v>14</v>
      </c>
      <c r="O15" s="31" t="s">
        <v>25</v>
      </c>
      <c r="P15" s="31" t="s">
        <v>15</v>
      </c>
    </row>
    <row r="16" spans="1:20" ht="16.5" thickBot="1" x14ac:dyDescent="0.3">
      <c r="B16" s="26">
        <f>'Исходные данные'!B13</f>
        <v>0.74</v>
      </c>
      <c r="C16" s="26">
        <f>'Исходные данные'!C13</f>
        <v>84</v>
      </c>
      <c r="D16" s="26">
        <f>'Исходные данные'!D13</f>
        <v>18.5</v>
      </c>
      <c r="E16" s="14">
        <f t="shared" si="0"/>
        <v>7056</v>
      </c>
      <c r="F16" s="14">
        <f t="shared" si="1"/>
        <v>342.25</v>
      </c>
      <c r="G16" s="14">
        <f t="shared" si="2"/>
        <v>1554</v>
      </c>
      <c r="H16" s="14">
        <f t="shared" si="3"/>
        <v>62.16</v>
      </c>
      <c r="I16" s="14">
        <f t="shared" si="4"/>
        <v>13.69</v>
      </c>
      <c r="J16" s="14">
        <f t="shared" si="5"/>
        <v>-0.51380243667900927</v>
      </c>
      <c r="K16" s="14">
        <f t="shared" si="6"/>
        <v>1.5720205502222211</v>
      </c>
      <c r="M16" s="15">
        <f>Q2/Q11</f>
        <v>0.3769245377859145</v>
      </c>
      <c r="N16" s="15">
        <f>Q5/Q11</f>
        <v>-8.5954707050376576E-3</v>
      </c>
      <c r="O16" s="15">
        <f>Q8/Q11</f>
        <v>-9.1193208238789514E-3</v>
      </c>
      <c r="P16" s="15">
        <f>K17/COUNT(B5:B16)</f>
        <v>1.7996239029468555</v>
      </c>
    </row>
    <row r="17" spans="1:17" ht="16.5" thickBot="1" x14ac:dyDescent="0.3">
      <c r="A17" s="13" t="s">
        <v>10</v>
      </c>
      <c r="B17" s="15">
        <f>SUM(B5:B16)</f>
        <v>10.252000000000001</v>
      </c>
      <c r="C17" s="15">
        <f t="shared" ref="C17:K17" si="9">SUM(C5:C16)</f>
        <v>932.80000000000007</v>
      </c>
      <c r="D17" s="15">
        <f t="shared" si="9"/>
        <v>250.99999999999997</v>
      </c>
      <c r="E17" s="15">
        <f t="shared" si="9"/>
        <v>72711.58</v>
      </c>
      <c r="F17" s="15">
        <f t="shared" si="9"/>
        <v>5366.66</v>
      </c>
      <c r="G17" s="15">
        <f t="shared" si="9"/>
        <v>19408.469999999998</v>
      </c>
      <c r="H17" s="15">
        <f t="shared" si="9"/>
        <v>799.59339999999986</v>
      </c>
      <c r="I17" s="15">
        <f t="shared" si="9"/>
        <v>212.49269999999999</v>
      </c>
      <c r="J17" s="15">
        <f t="shared" si="9"/>
        <v>-5.78371014702177</v>
      </c>
      <c r="K17" s="15">
        <f t="shared" si="9"/>
        <v>21.595486835362266</v>
      </c>
    </row>
    <row r="19" spans="1:17" ht="15.75" thickBot="1" x14ac:dyDescent="0.3">
      <c r="A19">
        <v>2</v>
      </c>
    </row>
    <row r="20" spans="1:17" ht="16.5" thickBot="1" x14ac:dyDescent="0.3">
      <c r="B20" s="5" t="s">
        <v>6</v>
      </c>
      <c r="C20" s="18"/>
      <c r="D20" s="6"/>
      <c r="E20" s="7" t="s">
        <v>7</v>
      </c>
      <c r="F20" s="8"/>
      <c r="G20" s="8"/>
      <c r="H20" s="8"/>
      <c r="I20" s="8"/>
      <c r="J20" s="8"/>
      <c r="K20" s="9"/>
      <c r="M20" s="23" t="s">
        <v>11</v>
      </c>
      <c r="N20" s="14">
        <f>C35</f>
        <v>932.80000000000007</v>
      </c>
      <c r="O20" s="14">
        <f>D35</f>
        <v>66149</v>
      </c>
      <c r="P20" s="27">
        <f>B35</f>
        <v>10.252000000000001</v>
      </c>
      <c r="Q20" s="28">
        <f>(N20*O21*P22+O20*N22*P21+N21*O22*P20)-(P20*O21*N22+O20*N21*P22+P21*O22*N20)</f>
        <v>-258652027184.25</v>
      </c>
    </row>
    <row r="21" spans="1:17" ht="16.5" thickBot="1" x14ac:dyDescent="0.3">
      <c r="B21" s="10"/>
      <c r="C21" s="19"/>
      <c r="D21" s="11"/>
      <c r="E21" s="20" t="s">
        <v>8</v>
      </c>
      <c r="F21" s="21"/>
      <c r="G21" s="21"/>
      <c r="H21" s="21"/>
      <c r="I21" s="22"/>
      <c r="J21" s="7" t="s">
        <v>9</v>
      </c>
      <c r="K21" s="9"/>
      <c r="L21" s="16"/>
      <c r="M21" s="24"/>
      <c r="N21" s="14">
        <f>E35</f>
        <v>72711.58</v>
      </c>
      <c r="O21" s="14">
        <f>G35</f>
        <v>5171083.1999999993</v>
      </c>
      <c r="P21" s="27">
        <f>H35</f>
        <v>799.59339999999986</v>
      </c>
      <c r="Q21" s="29"/>
    </row>
    <row r="22" spans="1:17" ht="21" thickBot="1" x14ac:dyDescent="0.4">
      <c r="B22" s="12" t="s">
        <v>0</v>
      </c>
      <c r="C22" s="12" t="s">
        <v>1</v>
      </c>
      <c r="D22" s="12" t="s">
        <v>3</v>
      </c>
      <c r="E22" s="12" t="s">
        <v>17</v>
      </c>
      <c r="F22" s="12" t="s">
        <v>27</v>
      </c>
      <c r="G22" s="12" t="s">
        <v>28</v>
      </c>
      <c r="H22" s="12" t="s">
        <v>21</v>
      </c>
      <c r="I22" s="12" t="s">
        <v>29</v>
      </c>
      <c r="J22" s="17" t="s">
        <v>30</v>
      </c>
      <c r="K22" s="12" t="s">
        <v>31</v>
      </c>
      <c r="L22" s="16"/>
      <c r="M22" s="25"/>
      <c r="N22" s="14">
        <f>G35</f>
        <v>5171083.1999999993</v>
      </c>
      <c r="O22" s="14">
        <f>F35</f>
        <v>1050647173</v>
      </c>
      <c r="P22" s="27">
        <f>I35</f>
        <v>58987.296999999999</v>
      </c>
      <c r="Q22" s="30"/>
    </row>
    <row r="23" spans="1:17" ht="15.75" x14ac:dyDescent="0.25">
      <c r="B23" s="14">
        <f>'Исходные данные'!B2</f>
        <v>0.90400000000000003</v>
      </c>
      <c r="C23" s="14">
        <f>'Исходные данные'!C2</f>
        <v>75.5</v>
      </c>
      <c r="D23" s="14">
        <f>'Исходные данные'!E2</f>
        <v>3343</v>
      </c>
      <c r="E23" s="14">
        <f>C23*C23</f>
        <v>5700.25</v>
      </c>
      <c r="F23" s="14">
        <f>D23*D23</f>
        <v>11175649</v>
      </c>
      <c r="G23" s="14">
        <f>C23*D23</f>
        <v>252396.5</v>
      </c>
      <c r="H23" s="14">
        <f>B23*C23</f>
        <v>68.251999999999995</v>
      </c>
      <c r="I23" s="14">
        <f>B23*D23</f>
        <v>3022.0720000000001</v>
      </c>
      <c r="J23" s="14">
        <f>$M$34+$N$34*C23+$O$34*D23</f>
        <v>-1.1117591256685437</v>
      </c>
      <c r="K23" s="14">
        <f>(B23-J23)*(B23-J23)</f>
        <v>4.0632848527160119</v>
      </c>
      <c r="M23" s="23" t="s">
        <v>12</v>
      </c>
      <c r="N23" s="14">
        <f>COUNT(B23:B34)</f>
        <v>12</v>
      </c>
      <c r="O23" s="14">
        <f>D35</f>
        <v>66149</v>
      </c>
      <c r="P23" s="14">
        <f>B35</f>
        <v>10.252000000000001</v>
      </c>
      <c r="Q23" s="28">
        <f>(N23*O24*P25+O23*N25*P24+N24*O25*P23)-(P23*O24*N25+O23*N24*P25+P24*O25*N23)</f>
        <v>-21126120907.941406</v>
      </c>
    </row>
    <row r="24" spans="1:17" ht="15.75" x14ac:dyDescent="0.25">
      <c r="B24" s="14">
        <f>'Исходные данные'!B3</f>
        <v>0.92200000000000004</v>
      </c>
      <c r="C24" s="14">
        <f>'Исходные данные'!C3</f>
        <v>78.5</v>
      </c>
      <c r="D24" s="14">
        <f>'Исходные данные'!E3</f>
        <v>3001</v>
      </c>
      <c r="E24" s="14">
        <f t="shared" ref="E24:E34" si="10">C24*C24</f>
        <v>6162.25</v>
      </c>
      <c r="F24" s="14">
        <f t="shared" ref="F24:F34" si="11">D24*D24</f>
        <v>9006001</v>
      </c>
      <c r="G24" s="14">
        <f t="shared" ref="G24:G34" si="12">C24*D24</f>
        <v>235578.5</v>
      </c>
      <c r="H24" s="14">
        <f t="shared" ref="H24:H34" si="13">B24*C24</f>
        <v>72.37700000000001</v>
      </c>
      <c r="I24" s="14">
        <f t="shared" ref="I24:I34" si="14">B24*D24</f>
        <v>2766.922</v>
      </c>
      <c r="J24" s="14">
        <f t="shared" ref="J24:J34" si="15">$M$34+$N$34*C24+$O$34*D24</f>
        <v>-1.1511689871234234</v>
      </c>
      <c r="K24" s="14">
        <f t="shared" ref="K24:K34" si="16">(B24-J24)*(B24-J24)</f>
        <v>4.2980296491703607</v>
      </c>
      <c r="M24" s="24"/>
      <c r="N24" s="14">
        <f>C35</f>
        <v>932.80000000000007</v>
      </c>
      <c r="O24" s="14">
        <f>G35</f>
        <v>5171083.1999999993</v>
      </c>
      <c r="P24" s="14">
        <f>H35</f>
        <v>799.59339999999986</v>
      </c>
      <c r="Q24" s="29"/>
    </row>
    <row r="25" spans="1:17" ht="16.5" thickBot="1" x14ac:dyDescent="0.3">
      <c r="B25" s="14">
        <f>'Исходные данные'!B4</f>
        <v>0.76300000000000001</v>
      </c>
      <c r="C25" s="14">
        <f>'Исходные данные'!C4</f>
        <v>78.400000000000006</v>
      </c>
      <c r="D25" s="14">
        <f>'Исходные данные'!E4</f>
        <v>3101</v>
      </c>
      <c r="E25" s="14">
        <f t="shared" si="10"/>
        <v>6146.5600000000013</v>
      </c>
      <c r="F25" s="14">
        <f t="shared" si="11"/>
        <v>9616201</v>
      </c>
      <c r="G25" s="14">
        <f t="shared" si="12"/>
        <v>243118.40000000002</v>
      </c>
      <c r="H25" s="14">
        <f t="shared" si="13"/>
        <v>59.819200000000002</v>
      </c>
      <c r="I25" s="14">
        <f t="shared" si="14"/>
        <v>2366.0630000000001</v>
      </c>
      <c r="J25" s="14">
        <f t="shared" si="15"/>
        <v>-1.1495838605303097</v>
      </c>
      <c r="K25" s="14">
        <f t="shared" si="16"/>
        <v>3.6579770235610236</v>
      </c>
      <c r="L25" s="16"/>
      <c r="M25" s="25"/>
      <c r="N25" s="14">
        <f>D35</f>
        <v>66149</v>
      </c>
      <c r="O25" s="14">
        <f>F35</f>
        <v>1050647173</v>
      </c>
      <c r="P25" s="14">
        <f>I35</f>
        <v>58987.296999999999</v>
      </c>
      <c r="Q25" s="30"/>
    </row>
    <row r="26" spans="1:17" ht="15.75" x14ac:dyDescent="0.25">
      <c r="B26" s="14">
        <f>'Исходные данные'!B5</f>
        <v>0.92300000000000004</v>
      </c>
      <c r="C26" s="14">
        <f>'Исходные данные'!C5</f>
        <v>77.7</v>
      </c>
      <c r="D26" s="14">
        <f>'Исходные данные'!E5</f>
        <v>3543</v>
      </c>
      <c r="E26" s="14">
        <f t="shared" si="10"/>
        <v>6037.2900000000009</v>
      </c>
      <c r="F26" s="14">
        <f t="shared" si="11"/>
        <v>12552849</v>
      </c>
      <c r="G26" s="14">
        <f t="shared" si="12"/>
        <v>275291.10000000003</v>
      </c>
      <c r="H26" s="14">
        <f t="shared" si="13"/>
        <v>71.717100000000002</v>
      </c>
      <c r="I26" s="14">
        <f t="shared" si="14"/>
        <v>3270.1890000000003</v>
      </c>
      <c r="J26" s="14">
        <f t="shared" si="15"/>
        <v>-1.1392784693278526</v>
      </c>
      <c r="K26" s="14">
        <f t="shared" si="16"/>
        <v>4.2529924850532312</v>
      </c>
      <c r="M26" s="23" t="s">
        <v>23</v>
      </c>
      <c r="N26" s="14">
        <f>COUNT(B23:B34)</f>
        <v>12</v>
      </c>
      <c r="O26" s="14">
        <f>C35</f>
        <v>932.80000000000007</v>
      </c>
      <c r="P26" s="14">
        <f>B35</f>
        <v>10.252000000000001</v>
      </c>
      <c r="Q26" s="28">
        <f t="shared" ref="Q26" si="17">(N26*O27*P28+O26*N28*P27+N27*O28*P26)-(P26*O27*N28+O26*N27*P28+P27*O28*N26)</f>
        <v>5061965.8726501465</v>
      </c>
    </row>
    <row r="27" spans="1:17" ht="15.75" x14ac:dyDescent="0.25">
      <c r="B27" s="14">
        <f>'Исходные данные'!B6</f>
        <v>0.91800000000000004</v>
      </c>
      <c r="C27" s="14">
        <f>'Исходные данные'!C6</f>
        <v>84.4</v>
      </c>
      <c r="D27" s="14">
        <f>'Исходные данные'!E6</f>
        <v>3237</v>
      </c>
      <c r="E27" s="14">
        <f t="shared" si="10"/>
        <v>7123.3600000000006</v>
      </c>
      <c r="F27" s="14">
        <f t="shared" si="11"/>
        <v>10478169</v>
      </c>
      <c r="G27" s="14">
        <f t="shared" si="12"/>
        <v>273202.80000000005</v>
      </c>
      <c r="H27" s="14">
        <f t="shared" si="13"/>
        <v>77.479200000000006</v>
      </c>
      <c r="I27" s="14">
        <f t="shared" si="14"/>
        <v>2971.5660000000003</v>
      </c>
      <c r="J27" s="14">
        <f t="shared" si="15"/>
        <v>-1.2258911576320959</v>
      </c>
      <c r="K27" s="14">
        <f t="shared" si="16"/>
        <v>4.5962692957730882</v>
      </c>
      <c r="M27" s="24"/>
      <c r="N27" s="14">
        <f>C35</f>
        <v>932.80000000000007</v>
      </c>
      <c r="O27" s="14">
        <f>E35</f>
        <v>72711.58</v>
      </c>
      <c r="P27" s="14">
        <f>H35</f>
        <v>799.59339999999986</v>
      </c>
      <c r="Q27" s="29"/>
    </row>
    <row r="28" spans="1:17" ht="16.5" thickBot="1" x14ac:dyDescent="0.3">
      <c r="B28" s="14">
        <f>'Исходные данные'!B7</f>
        <v>0.90600000000000003</v>
      </c>
      <c r="C28" s="14">
        <f>'Исходные данные'!C7</f>
        <v>75.900000000000006</v>
      </c>
      <c r="D28" s="14">
        <f>'Исходные данные'!E7</f>
        <v>3330</v>
      </c>
      <c r="E28" s="14">
        <f t="shared" si="10"/>
        <v>5760.8100000000013</v>
      </c>
      <c r="F28" s="14">
        <f t="shared" si="11"/>
        <v>11088900</v>
      </c>
      <c r="G28" s="14">
        <f t="shared" si="12"/>
        <v>252747.00000000003</v>
      </c>
      <c r="H28" s="14">
        <f t="shared" si="13"/>
        <v>68.765400000000014</v>
      </c>
      <c r="I28" s="14">
        <f t="shared" si="14"/>
        <v>3016.98</v>
      </c>
      <c r="J28" s="14">
        <f t="shared" si="15"/>
        <v>-1.1169138896169912</v>
      </c>
      <c r="K28" s="14">
        <f t="shared" si="16"/>
        <v>4.0921806048053444</v>
      </c>
      <c r="L28" s="16"/>
      <c r="M28" s="25"/>
      <c r="N28" s="14">
        <f>D35</f>
        <v>66149</v>
      </c>
      <c r="O28" s="14">
        <f>G35</f>
        <v>5171083.1999999993</v>
      </c>
      <c r="P28" s="14">
        <f>I35</f>
        <v>58987.296999999999</v>
      </c>
      <c r="Q28" s="30"/>
    </row>
    <row r="29" spans="1:17" ht="15.75" x14ac:dyDescent="0.25">
      <c r="B29" s="14">
        <f>'Исходные данные'!B8</f>
        <v>0.90500000000000003</v>
      </c>
      <c r="C29" s="14">
        <f>'Исходные данные'!C8</f>
        <v>76</v>
      </c>
      <c r="D29" s="14">
        <f>'Исходные данные'!E8</f>
        <v>3808</v>
      </c>
      <c r="E29" s="14">
        <f t="shared" si="10"/>
        <v>5776</v>
      </c>
      <c r="F29" s="14">
        <f t="shared" si="11"/>
        <v>14500864</v>
      </c>
      <c r="G29" s="14">
        <f t="shared" si="12"/>
        <v>289408</v>
      </c>
      <c r="H29" s="14">
        <f t="shared" si="13"/>
        <v>68.78</v>
      </c>
      <c r="I29" s="14">
        <f t="shared" si="14"/>
        <v>3446.2400000000002</v>
      </c>
      <c r="J29" s="14">
        <f t="shared" si="15"/>
        <v>-1.1167280624088747</v>
      </c>
      <c r="K29" s="14">
        <f t="shared" si="16"/>
        <v>4.0873843583315432</v>
      </c>
      <c r="M29" s="24" t="s">
        <v>13</v>
      </c>
      <c r="N29" s="14">
        <f>COUNT(B23:B34)</f>
        <v>12</v>
      </c>
      <c r="O29" s="14">
        <f>C35</f>
        <v>932.80000000000007</v>
      </c>
      <c r="P29" s="14">
        <f>D35</f>
        <v>66149</v>
      </c>
      <c r="Q29" s="28">
        <f t="shared" ref="Q29" si="18">(N29*O30*P31+O29*N31*P30+N30*O31*P29)-(P29*O30*N31+O29*N30*P31+P30*O31*N29)</f>
        <v>1652113269335.25</v>
      </c>
    </row>
    <row r="30" spans="1:17" ht="15.75" x14ac:dyDescent="0.25">
      <c r="B30" s="14">
        <f>'Исходные данные'!B9</f>
        <v>0.54500000000000004</v>
      </c>
      <c r="C30" s="14">
        <f>'Исходные данные'!C9</f>
        <v>67.5</v>
      </c>
      <c r="D30" s="14">
        <f>'Исходные данные'!E9</f>
        <v>2415</v>
      </c>
      <c r="E30" s="14">
        <f t="shared" si="10"/>
        <v>4556.25</v>
      </c>
      <c r="F30" s="14">
        <f t="shared" si="11"/>
        <v>5832225</v>
      </c>
      <c r="G30" s="14">
        <f t="shared" si="12"/>
        <v>163012.5</v>
      </c>
      <c r="H30" s="14">
        <f t="shared" si="13"/>
        <v>36.787500000000001</v>
      </c>
      <c r="I30" s="14">
        <f t="shared" si="14"/>
        <v>1316.1750000000002</v>
      </c>
      <c r="J30" s="14">
        <f t="shared" si="15"/>
        <v>-1.0123038001872438</v>
      </c>
      <c r="K30" s="14">
        <f t="shared" si="16"/>
        <v>2.4251951260776305</v>
      </c>
      <c r="M30" s="24"/>
      <c r="N30" s="14">
        <f>C35</f>
        <v>932.80000000000007</v>
      </c>
      <c r="O30" s="14">
        <f>E35</f>
        <v>72711.58</v>
      </c>
      <c r="P30" s="14">
        <f>G35</f>
        <v>5171083.1999999993</v>
      </c>
      <c r="Q30" s="29"/>
    </row>
    <row r="31" spans="1:17" ht="16.5" thickBot="1" x14ac:dyDescent="0.3">
      <c r="B31" s="14">
        <f>'Исходные данные'!B10</f>
        <v>0.89400000000000002</v>
      </c>
      <c r="C31" s="14">
        <f>'Исходные данные'!C10</f>
        <v>78.2</v>
      </c>
      <c r="D31" s="14">
        <f>'Исходные данные'!E10</f>
        <v>3295</v>
      </c>
      <c r="E31" s="14">
        <f t="shared" si="10"/>
        <v>6115.2400000000007</v>
      </c>
      <c r="F31" s="14">
        <f t="shared" si="11"/>
        <v>10857025</v>
      </c>
      <c r="G31" s="14">
        <f t="shared" si="12"/>
        <v>257669</v>
      </c>
      <c r="H31" s="14">
        <f t="shared" si="13"/>
        <v>69.910800000000009</v>
      </c>
      <c r="I31" s="14">
        <f t="shared" si="14"/>
        <v>2945.73</v>
      </c>
      <c r="J31" s="14">
        <f t="shared" si="15"/>
        <v>-1.1464319909475555</v>
      </c>
      <c r="K31" s="14">
        <f t="shared" si="16"/>
        <v>4.1633627096822048</v>
      </c>
      <c r="M31" s="25"/>
      <c r="N31" s="14">
        <f>D35</f>
        <v>66149</v>
      </c>
      <c r="O31" s="14">
        <f>G35</f>
        <v>5171083.1999999993</v>
      </c>
      <c r="P31" s="14">
        <f>F35</f>
        <v>1050647173</v>
      </c>
      <c r="Q31" s="30"/>
    </row>
    <row r="32" spans="1:17" ht="15.75" x14ac:dyDescent="0.25">
      <c r="B32" s="14">
        <f>'Исходные данные'!B11</f>
        <v>0.9</v>
      </c>
      <c r="C32" s="14">
        <f>'Исходные данные'!C11</f>
        <v>78.099999999999994</v>
      </c>
      <c r="D32" s="14">
        <f>'Исходные данные'!E11</f>
        <v>3504</v>
      </c>
      <c r="E32" s="14">
        <f t="shared" si="10"/>
        <v>6099.6099999999988</v>
      </c>
      <c r="F32" s="14">
        <f t="shared" si="11"/>
        <v>12278016</v>
      </c>
      <c r="G32" s="14">
        <f t="shared" si="12"/>
        <v>273662.39999999997</v>
      </c>
      <c r="H32" s="14">
        <f t="shared" si="13"/>
        <v>70.289999999999992</v>
      </c>
      <c r="I32" s="14">
        <f t="shared" si="14"/>
        <v>3153.6</v>
      </c>
      <c r="J32" s="14">
        <f t="shared" si="15"/>
        <v>-1.1445128955580164</v>
      </c>
      <c r="K32" s="14">
        <f t="shared" si="16"/>
        <v>4.1800329801030243</v>
      </c>
    </row>
    <row r="33" spans="1:17" ht="16.5" thickBot="1" x14ac:dyDescent="0.3">
      <c r="B33" s="14">
        <f>'Исходные данные'!B12</f>
        <v>0.93200000000000005</v>
      </c>
      <c r="C33" s="14">
        <f>'Исходные данные'!C12</f>
        <v>78.599999999999994</v>
      </c>
      <c r="D33" s="14">
        <f>'Исходные данные'!E12</f>
        <v>30565</v>
      </c>
      <c r="E33" s="14">
        <f t="shared" si="10"/>
        <v>6177.9599999999991</v>
      </c>
      <c r="F33" s="14">
        <f t="shared" si="11"/>
        <v>934219225</v>
      </c>
      <c r="G33" s="14">
        <f t="shared" si="12"/>
        <v>2402409</v>
      </c>
      <c r="H33" s="14">
        <f t="shared" si="13"/>
        <v>73.255200000000002</v>
      </c>
      <c r="I33" s="14">
        <f t="shared" si="14"/>
        <v>28486.58</v>
      </c>
      <c r="J33" s="14">
        <f t="shared" si="15"/>
        <v>-1.0679934459704699</v>
      </c>
      <c r="K33" s="14">
        <f t="shared" si="16"/>
        <v>3.9999737839248346</v>
      </c>
      <c r="M33" s="31" t="s">
        <v>24</v>
      </c>
      <c r="N33" s="31" t="s">
        <v>14</v>
      </c>
      <c r="O33" s="31" t="s">
        <v>25</v>
      </c>
      <c r="P33" s="31" t="s">
        <v>15</v>
      </c>
    </row>
    <row r="34" spans="1:17" ht="16.5" thickBot="1" x14ac:dyDescent="0.3">
      <c r="B34" s="14">
        <f>'Исходные данные'!B13</f>
        <v>0.74</v>
      </c>
      <c r="C34" s="14">
        <f>'Исходные данные'!C13</f>
        <v>84</v>
      </c>
      <c r="D34" s="14">
        <f>'Исходные данные'!E13</f>
        <v>3007</v>
      </c>
      <c r="E34" s="14">
        <f t="shared" si="10"/>
        <v>7056</v>
      </c>
      <c r="F34" s="14">
        <f t="shared" si="11"/>
        <v>9042049</v>
      </c>
      <c r="G34" s="14">
        <f t="shared" si="12"/>
        <v>252588</v>
      </c>
      <c r="H34" s="14">
        <f t="shared" si="13"/>
        <v>62.16</v>
      </c>
      <c r="I34" s="14">
        <f t="shared" si="14"/>
        <v>2225.1799999999998</v>
      </c>
      <c r="J34" s="14">
        <f t="shared" si="15"/>
        <v>-1.2214809296243039</v>
      </c>
      <c r="K34" s="14">
        <f t="shared" si="16"/>
        <v>3.8474074372798235</v>
      </c>
      <c r="M34" s="15">
        <f>Q20/Q29</f>
        <v>-0.15655828930441443</v>
      </c>
      <c r="N34" s="15">
        <f>Q23/Q29</f>
        <v>-1.2787332018973363E-2</v>
      </c>
      <c r="O34" s="15">
        <f>Q26/Q29</f>
        <v>3.0639339121626305E-6</v>
      </c>
      <c r="P34" s="15">
        <f>K35/COUNT(B23:B34)</f>
        <v>3.9720075255398428</v>
      </c>
    </row>
    <row r="35" spans="1:17" ht="16.5" thickBot="1" x14ac:dyDescent="0.3">
      <c r="A35" s="13" t="s">
        <v>10</v>
      </c>
      <c r="B35" s="15">
        <f>SUM(B23:B34)</f>
        <v>10.252000000000001</v>
      </c>
      <c r="C35" s="15">
        <f t="shared" ref="C35" si="19">SUM(C23:C34)</f>
        <v>932.80000000000007</v>
      </c>
      <c r="D35" s="15">
        <f t="shared" ref="D35" si="20">SUM(D23:D34)</f>
        <v>66149</v>
      </c>
      <c r="E35" s="15">
        <f t="shared" ref="E35" si="21">SUM(E23:E34)</f>
        <v>72711.58</v>
      </c>
      <c r="F35" s="15">
        <f t="shared" ref="F35" si="22">SUM(F23:F34)</f>
        <v>1050647173</v>
      </c>
      <c r="G35" s="15">
        <f t="shared" ref="G35" si="23">SUM(G23:G34)</f>
        <v>5171083.1999999993</v>
      </c>
      <c r="H35" s="15">
        <f t="shared" ref="H35" si="24">SUM(H23:H34)</f>
        <v>799.59339999999986</v>
      </c>
      <c r="I35" s="15">
        <f t="shared" ref="I35" si="25">SUM(I23:I34)</f>
        <v>58987.296999999999</v>
      </c>
      <c r="J35" s="15">
        <f t="shared" ref="J35" si="26">SUM(J23:J34)</f>
        <v>-13.60404661459568</v>
      </c>
      <c r="K35" s="15">
        <f t="shared" ref="K35" si="27">SUM(K23:K34)</f>
        <v>47.664090306478116</v>
      </c>
    </row>
    <row r="37" spans="1:17" ht="15.75" thickBot="1" x14ac:dyDescent="0.3">
      <c r="A37">
        <v>3</v>
      </c>
    </row>
    <row r="38" spans="1:17" ht="16.5" thickBot="1" x14ac:dyDescent="0.3">
      <c r="B38" s="5" t="s">
        <v>6</v>
      </c>
      <c r="C38" s="18"/>
      <c r="D38" s="6"/>
      <c r="E38" s="7" t="s">
        <v>7</v>
      </c>
      <c r="F38" s="8"/>
      <c r="G38" s="8"/>
      <c r="H38" s="8"/>
      <c r="I38" s="8"/>
      <c r="J38" s="8"/>
      <c r="K38" s="9"/>
      <c r="M38" s="23" t="s">
        <v>11</v>
      </c>
      <c r="N38" s="14">
        <f>C53</f>
        <v>932.80000000000007</v>
      </c>
      <c r="O38" s="14">
        <f>D53</f>
        <v>895.90000000000009</v>
      </c>
      <c r="P38" s="27">
        <f>B53</f>
        <v>10.252000000000001</v>
      </c>
      <c r="Q38" s="28">
        <f>(N38*O39*P40+O38*N40*P39+N39*O40*P38)-(P38*O39*N40+O38*N39*P40+P39*O40*N38)</f>
        <v>-653096.01220703125</v>
      </c>
    </row>
    <row r="39" spans="1:17" ht="16.5" thickBot="1" x14ac:dyDescent="0.3">
      <c r="B39" s="10"/>
      <c r="C39" s="19"/>
      <c r="D39" s="11"/>
      <c r="E39" s="20" t="s">
        <v>8</v>
      </c>
      <c r="F39" s="21"/>
      <c r="G39" s="21"/>
      <c r="H39" s="21"/>
      <c r="I39" s="22"/>
      <c r="J39" s="7" t="s">
        <v>9</v>
      </c>
      <c r="K39" s="9"/>
      <c r="L39" s="16"/>
      <c r="M39" s="24"/>
      <c r="N39" s="14">
        <f>E53</f>
        <v>72711.58</v>
      </c>
      <c r="O39" s="14">
        <f>G53</f>
        <v>69730.52</v>
      </c>
      <c r="P39" s="27">
        <f>H53</f>
        <v>799.59339999999986</v>
      </c>
      <c r="Q39" s="29"/>
    </row>
    <row r="40" spans="1:17" ht="21" thickBot="1" x14ac:dyDescent="0.4">
      <c r="B40" s="12" t="s">
        <v>0</v>
      </c>
      <c r="C40" s="39" t="s">
        <v>1</v>
      </c>
      <c r="D40" s="39" t="s">
        <v>4</v>
      </c>
      <c r="E40" s="12" t="s">
        <v>17</v>
      </c>
      <c r="F40" s="12" t="s">
        <v>32</v>
      </c>
      <c r="G40" s="12" t="s">
        <v>33</v>
      </c>
      <c r="H40" s="12" t="s">
        <v>21</v>
      </c>
      <c r="I40" s="12" t="s">
        <v>34</v>
      </c>
      <c r="J40" s="17" t="s">
        <v>35</v>
      </c>
      <c r="K40" s="12" t="s">
        <v>36</v>
      </c>
      <c r="L40" s="16"/>
      <c r="M40" s="25"/>
      <c r="N40" s="14">
        <f>G53</f>
        <v>69730.52</v>
      </c>
      <c r="O40" s="14">
        <f>F53</f>
        <v>67207.009999999995</v>
      </c>
      <c r="P40" s="27">
        <f>I53</f>
        <v>772.05030000000011</v>
      </c>
      <c r="Q40" s="30"/>
    </row>
    <row r="41" spans="1:17" ht="15.75" x14ac:dyDescent="0.25">
      <c r="B41" s="14">
        <f>'Исходные данные'!B2</f>
        <v>0.90400000000000003</v>
      </c>
      <c r="C41" s="40">
        <f>'Исходные данные'!C2</f>
        <v>75.5</v>
      </c>
      <c r="D41" s="40">
        <f>'Исходные данные'!F2</f>
        <v>77</v>
      </c>
      <c r="E41" s="14">
        <f>C41*C41</f>
        <v>5700.25</v>
      </c>
      <c r="F41" s="14">
        <f>D41*D41</f>
        <v>5929</v>
      </c>
      <c r="G41" s="14">
        <f>C41*D41</f>
        <v>5813.5</v>
      </c>
      <c r="H41" s="14">
        <f>B41*C41</f>
        <v>68.251999999999995</v>
      </c>
      <c r="I41" s="14">
        <f>B41*D41</f>
        <v>69.608000000000004</v>
      </c>
      <c r="J41" s="14">
        <f>$M$52+$N$52*C41+$O$52*D41</f>
        <v>0.190658376965537</v>
      </c>
      <c r="K41" s="14">
        <f>(B41-J41)*(B41-J41)</f>
        <v>0.5088562711534419</v>
      </c>
      <c r="M41" s="23" t="s">
        <v>12</v>
      </c>
      <c r="N41" s="14">
        <f>COUNT(B41:B52)</f>
        <v>12</v>
      </c>
      <c r="O41" s="14">
        <f>D53</f>
        <v>895.90000000000009</v>
      </c>
      <c r="P41" s="14">
        <f>B53</f>
        <v>10.252000000000001</v>
      </c>
      <c r="Q41" s="28">
        <f>(N41*O42*P43+O41*N43*P42+N42*O43*P41)-(P41*O42*N43+O41*N42*P43+P42*O43*N41)</f>
        <v>-3153.6194179058075</v>
      </c>
    </row>
    <row r="42" spans="1:17" ht="15.75" x14ac:dyDescent="0.25">
      <c r="B42" s="14">
        <f>'Исходные данные'!B3</f>
        <v>0.92200000000000004</v>
      </c>
      <c r="C42" s="40">
        <f>'Исходные данные'!C3</f>
        <v>78.5</v>
      </c>
      <c r="D42" s="40">
        <f>'Исходные данные'!F3</f>
        <v>78.2</v>
      </c>
      <c r="E42" s="14">
        <f t="shared" ref="E42:E52" si="28">C42*C42</f>
        <v>6162.25</v>
      </c>
      <c r="F42" s="14">
        <f t="shared" ref="F42:F52" si="29">D42*D42</f>
        <v>6115.2400000000007</v>
      </c>
      <c r="G42" s="14">
        <f t="shared" ref="G42:G52" si="30">C42*D42</f>
        <v>6138.7</v>
      </c>
      <c r="H42" s="14">
        <f t="shared" ref="H42:H52" si="31">B42*C42</f>
        <v>72.37700000000001</v>
      </c>
      <c r="I42" s="14">
        <f t="shared" ref="I42:I52" si="32">B42*D42</f>
        <v>72.100400000000008</v>
      </c>
      <c r="J42" s="14">
        <f t="shared" ref="J42:J52" si="33">$M$52+$N$52*C42+$O$52*D42</f>
        <v>0.20012848552330764</v>
      </c>
      <c r="K42" s="14">
        <f t="shared" ref="K42:K52" si="34">(B42-J42)*(B42-J42)</f>
        <v>0.52109848341287357</v>
      </c>
      <c r="M42" s="24"/>
      <c r="N42" s="14">
        <f>C53</f>
        <v>932.80000000000007</v>
      </c>
      <c r="O42" s="14">
        <f>G53</f>
        <v>69730.52</v>
      </c>
      <c r="P42" s="14">
        <f>H53</f>
        <v>799.59339999999986</v>
      </c>
      <c r="Q42" s="29"/>
    </row>
    <row r="43" spans="1:17" ht="16.5" thickBot="1" x14ac:dyDescent="0.3">
      <c r="B43" s="14">
        <f>'Исходные данные'!B4</f>
        <v>0.76300000000000001</v>
      </c>
      <c r="C43" s="40">
        <f>'Исходные данные'!C4</f>
        <v>78.400000000000006</v>
      </c>
      <c r="D43" s="40">
        <f>'Исходные данные'!F4</f>
        <v>68</v>
      </c>
      <c r="E43" s="14">
        <f t="shared" si="28"/>
        <v>6146.5600000000013</v>
      </c>
      <c r="F43" s="14">
        <f t="shared" si="29"/>
        <v>4624</v>
      </c>
      <c r="G43" s="14">
        <f t="shared" si="30"/>
        <v>5331.2000000000007</v>
      </c>
      <c r="H43" s="14">
        <f t="shared" si="31"/>
        <v>59.819200000000002</v>
      </c>
      <c r="I43" s="14">
        <f t="shared" si="32"/>
        <v>51.884</v>
      </c>
      <c r="J43" s="14">
        <f t="shared" si="33"/>
        <v>2.066879355199891E-3</v>
      </c>
      <c r="K43" s="14">
        <f t="shared" si="34"/>
        <v>0.57901921409423396</v>
      </c>
      <c r="L43" s="16"/>
      <c r="M43" s="25"/>
      <c r="N43" s="14">
        <f>D53</f>
        <v>895.90000000000009</v>
      </c>
      <c r="O43" s="14">
        <f>F53</f>
        <v>67207.009999999995</v>
      </c>
      <c r="P43" s="14">
        <f>I53</f>
        <v>772.05030000000011</v>
      </c>
      <c r="Q43" s="30"/>
    </row>
    <row r="44" spans="1:17" ht="15.75" x14ac:dyDescent="0.25">
      <c r="B44" s="14">
        <f>'Исходные данные'!B5</f>
        <v>0.92300000000000004</v>
      </c>
      <c r="C44" s="40">
        <f>'Исходные данные'!C5</f>
        <v>77.7</v>
      </c>
      <c r="D44" s="40">
        <f>'Исходные данные'!F5</f>
        <v>77.2</v>
      </c>
      <c r="E44" s="14">
        <f t="shared" si="28"/>
        <v>6037.2900000000009</v>
      </c>
      <c r="F44" s="14">
        <f t="shared" si="29"/>
        <v>5959.84</v>
      </c>
      <c r="G44" s="14">
        <f t="shared" si="30"/>
        <v>5998.4400000000005</v>
      </c>
      <c r="H44" s="14">
        <f t="shared" si="31"/>
        <v>71.717100000000002</v>
      </c>
      <c r="I44" s="14">
        <f t="shared" si="32"/>
        <v>71.255600000000001</v>
      </c>
      <c r="J44" s="14">
        <f t="shared" si="33"/>
        <v>0.18436815902860393</v>
      </c>
      <c r="K44" s="14">
        <f t="shared" si="34"/>
        <v>0.54557699649679381</v>
      </c>
      <c r="M44" s="23" t="s">
        <v>23</v>
      </c>
      <c r="N44" s="14">
        <f>COUNT(B41:B52)</f>
        <v>12</v>
      </c>
      <c r="O44" s="14">
        <f>C53</f>
        <v>932.80000000000007</v>
      </c>
      <c r="P44" s="14">
        <f>B53</f>
        <v>10.252000000000001</v>
      </c>
      <c r="Q44" s="28">
        <f t="shared" ref="Q44" si="35">(N44*O45*P46+O44*N46*P45+N45*O46*P44)-(P44*O45*N46+O44*N45*P46+P45*O46*N44)</f>
        <v>13261.000256061554</v>
      </c>
    </row>
    <row r="45" spans="1:17" ht="15.75" x14ac:dyDescent="0.25">
      <c r="B45" s="14">
        <f>'Исходные данные'!B6</f>
        <v>0.91800000000000004</v>
      </c>
      <c r="C45" s="40">
        <f>'Исходные данные'!C6</f>
        <v>84.4</v>
      </c>
      <c r="D45" s="40">
        <f>'Исходные данные'!F6</f>
        <v>77.2</v>
      </c>
      <c r="E45" s="14">
        <f t="shared" si="28"/>
        <v>7123.3600000000006</v>
      </c>
      <c r="F45" s="14">
        <f t="shared" si="29"/>
        <v>5959.84</v>
      </c>
      <c r="G45" s="14">
        <f t="shared" si="30"/>
        <v>6515.68</v>
      </c>
      <c r="H45" s="14">
        <f t="shared" si="31"/>
        <v>77.479200000000006</v>
      </c>
      <c r="I45" s="14">
        <f t="shared" si="32"/>
        <v>70.869600000000005</v>
      </c>
      <c r="J45" s="14">
        <f t="shared" si="33"/>
        <v>0.1533567385970569</v>
      </c>
      <c r="K45" s="14">
        <f t="shared" si="34"/>
        <v>0.58467931720892963</v>
      </c>
      <c r="M45" s="24"/>
      <c r="N45" s="14">
        <f>C53</f>
        <v>932.80000000000007</v>
      </c>
      <c r="O45" s="14">
        <f>E53</f>
        <v>72711.58</v>
      </c>
      <c r="P45" s="14">
        <f>H53</f>
        <v>799.59339999999986</v>
      </c>
      <c r="Q45" s="29"/>
    </row>
    <row r="46" spans="1:17" ht="16.5" thickBot="1" x14ac:dyDescent="0.3">
      <c r="B46" s="14">
        <f>'Исходные данные'!B7</f>
        <v>0.90600000000000003</v>
      </c>
      <c r="C46" s="40">
        <f>'Исходные данные'!C7</f>
        <v>75.900000000000006</v>
      </c>
      <c r="D46" s="40">
        <f>'Исходные данные'!F7</f>
        <v>77.2</v>
      </c>
      <c r="E46" s="14">
        <f t="shared" si="28"/>
        <v>5760.8100000000013</v>
      </c>
      <c r="F46" s="14">
        <f t="shared" si="29"/>
        <v>5959.84</v>
      </c>
      <c r="G46" s="14">
        <f t="shared" si="30"/>
        <v>5859.4800000000005</v>
      </c>
      <c r="H46" s="14">
        <f t="shared" si="31"/>
        <v>68.765400000000014</v>
      </c>
      <c r="I46" s="14">
        <f t="shared" si="32"/>
        <v>69.943200000000004</v>
      </c>
      <c r="J46" s="14">
        <f t="shared" si="33"/>
        <v>0.19269958541319854</v>
      </c>
      <c r="K46" s="14">
        <f t="shared" si="34"/>
        <v>0.50879748144970294</v>
      </c>
      <c r="L46" s="16"/>
      <c r="M46" s="25"/>
      <c r="N46" s="14">
        <f>D53</f>
        <v>895.90000000000009</v>
      </c>
      <c r="O46" s="14">
        <f>G53</f>
        <v>69730.52</v>
      </c>
      <c r="P46" s="14">
        <f>I53</f>
        <v>772.05030000000011</v>
      </c>
      <c r="Q46" s="30"/>
    </row>
    <row r="47" spans="1:17" ht="15.75" x14ac:dyDescent="0.25">
      <c r="B47" s="14">
        <f>'Исходные данные'!B8</f>
        <v>0.90500000000000003</v>
      </c>
      <c r="C47" s="40">
        <f>'Исходные данные'!C8</f>
        <v>76</v>
      </c>
      <c r="D47" s="40">
        <f>'Исходные данные'!F8</f>
        <v>75.7</v>
      </c>
      <c r="E47" s="14">
        <f t="shared" si="28"/>
        <v>5776</v>
      </c>
      <c r="F47" s="14">
        <f t="shared" si="29"/>
        <v>5730.4900000000007</v>
      </c>
      <c r="G47" s="14">
        <f t="shared" si="30"/>
        <v>5753.2</v>
      </c>
      <c r="H47" s="14">
        <f t="shared" si="31"/>
        <v>68.78</v>
      </c>
      <c r="I47" s="14">
        <f t="shared" si="32"/>
        <v>68.508499999999998</v>
      </c>
      <c r="J47" s="14">
        <f t="shared" si="33"/>
        <v>0.16304195439338032</v>
      </c>
      <c r="K47" s="14">
        <f t="shared" si="34"/>
        <v>0.55050174144039477</v>
      </c>
      <c r="M47" s="24" t="s">
        <v>13</v>
      </c>
      <c r="N47" s="14">
        <f>COUNT(B41:B52)</f>
        <v>12</v>
      </c>
      <c r="O47" s="14">
        <f>C53</f>
        <v>932.80000000000007</v>
      </c>
      <c r="P47" s="14">
        <f>D53</f>
        <v>895.90000000000009</v>
      </c>
      <c r="Q47" s="28">
        <f t="shared" ref="Q47" si="36">(N47*O48*P49+O47*N49*P48+N48*O49*P47)-(P47*O48*N49+O47*N48*P49+P48*O49*N47)</f>
        <v>681337.70739746094</v>
      </c>
    </row>
    <row r="48" spans="1:17" ht="15.75" x14ac:dyDescent="0.25">
      <c r="B48" s="14">
        <f>'Исходные данные'!B9</f>
        <v>0.54500000000000004</v>
      </c>
      <c r="C48" s="40">
        <f>'Исходные данные'!C9</f>
        <v>67.5</v>
      </c>
      <c r="D48" s="40">
        <f>'Исходные данные'!F9</f>
        <v>62.6</v>
      </c>
      <c r="E48" s="14">
        <f t="shared" si="28"/>
        <v>4556.25</v>
      </c>
      <c r="F48" s="14">
        <f t="shared" si="29"/>
        <v>3918.76</v>
      </c>
      <c r="G48" s="14">
        <f t="shared" si="30"/>
        <v>4225.5</v>
      </c>
      <c r="H48" s="14">
        <f t="shared" si="31"/>
        <v>36.787500000000001</v>
      </c>
      <c r="I48" s="14">
        <f t="shared" si="32"/>
        <v>34.117000000000004</v>
      </c>
      <c r="J48" s="14">
        <f t="shared" si="33"/>
        <v>-5.2582891710293067E-2</v>
      </c>
      <c r="K48" s="14">
        <f t="shared" si="34"/>
        <v>0.3571053124648359</v>
      </c>
      <c r="M48" s="24"/>
      <c r="N48" s="14">
        <f>C53</f>
        <v>932.80000000000007</v>
      </c>
      <c r="O48" s="14">
        <f>E53</f>
        <v>72711.58</v>
      </c>
      <c r="P48" s="14">
        <f>G53</f>
        <v>69730.52</v>
      </c>
      <c r="Q48" s="29"/>
    </row>
    <row r="49" spans="1:17" ht="16.5" thickBot="1" x14ac:dyDescent="0.3">
      <c r="B49" s="14">
        <f>'Исходные данные'!B10</f>
        <v>0.89400000000000002</v>
      </c>
      <c r="C49" s="40">
        <f>'Исходные данные'!C10</f>
        <v>78.2</v>
      </c>
      <c r="D49" s="40">
        <f>'Исходные данные'!F10</f>
        <v>78</v>
      </c>
      <c r="E49" s="14">
        <f t="shared" si="28"/>
        <v>6115.2400000000007</v>
      </c>
      <c r="F49" s="14">
        <f t="shared" si="29"/>
        <v>6084</v>
      </c>
      <c r="G49" s="14">
        <f t="shared" si="30"/>
        <v>6099.6</v>
      </c>
      <c r="H49" s="14">
        <f t="shared" si="31"/>
        <v>69.910800000000009</v>
      </c>
      <c r="I49" s="14">
        <f t="shared" si="32"/>
        <v>69.731999999999999</v>
      </c>
      <c r="J49" s="14">
        <f>$M$52+$N$52*C49+$O$52*D49</f>
        <v>0.1976244200542796</v>
      </c>
      <c r="K49" s="14">
        <f t="shared" si="34"/>
        <v>0.48493894834473844</v>
      </c>
      <c r="M49" s="25"/>
      <c r="N49" s="14">
        <f>D53</f>
        <v>895.90000000000009</v>
      </c>
      <c r="O49" s="14">
        <f>G53</f>
        <v>69730.52</v>
      </c>
      <c r="P49" s="14">
        <f>F53</f>
        <v>67207.009999999995</v>
      </c>
      <c r="Q49" s="30"/>
    </row>
    <row r="50" spans="1:17" ht="15.75" x14ac:dyDescent="0.25">
      <c r="B50" s="14">
        <f>'Исходные данные'!B11</f>
        <v>0.9</v>
      </c>
      <c r="C50" s="40">
        <f>'Исходные данные'!C11</f>
        <v>78.099999999999994</v>
      </c>
      <c r="D50" s="40">
        <f>'Исходные данные'!F11</f>
        <v>78.2</v>
      </c>
      <c r="E50" s="14">
        <f t="shared" si="28"/>
        <v>6099.6099999999988</v>
      </c>
      <c r="F50" s="14">
        <f t="shared" si="29"/>
        <v>6115.2400000000007</v>
      </c>
      <c r="G50" s="14">
        <f t="shared" si="30"/>
        <v>6107.42</v>
      </c>
      <c r="H50" s="14">
        <f t="shared" si="31"/>
        <v>70.289999999999992</v>
      </c>
      <c r="I50" s="14">
        <f t="shared" si="32"/>
        <v>70.38000000000001</v>
      </c>
      <c r="J50" s="14">
        <f t="shared" si="33"/>
        <v>0.20197991360877321</v>
      </c>
      <c r="K50" s="14">
        <f t="shared" si="34"/>
        <v>0.48723204100561573</v>
      </c>
    </row>
    <row r="51" spans="1:17" ht="16.5" thickBot="1" x14ac:dyDescent="0.3">
      <c r="B51" s="14">
        <f>'Исходные данные'!B12</f>
        <v>0.93200000000000005</v>
      </c>
      <c r="C51" s="40">
        <f>'Исходные данные'!C12</f>
        <v>78.599999999999994</v>
      </c>
      <c r="D51" s="40">
        <f>'Исходные данные'!F12</f>
        <v>79</v>
      </c>
      <c r="E51" s="14">
        <f t="shared" si="28"/>
        <v>6177.9599999999991</v>
      </c>
      <c r="F51" s="14">
        <f t="shared" si="29"/>
        <v>6241</v>
      </c>
      <c r="G51" s="14">
        <f t="shared" si="30"/>
        <v>6209.4</v>
      </c>
      <c r="H51" s="14">
        <f t="shared" si="31"/>
        <v>73.255200000000002</v>
      </c>
      <c r="I51" s="14">
        <f t="shared" si="32"/>
        <v>73.628</v>
      </c>
      <c r="J51" s="14">
        <f t="shared" si="33"/>
        <v>0.21523617463444888</v>
      </c>
      <c r="K51" s="14">
        <f t="shared" si="34"/>
        <v>0.51375038135265838</v>
      </c>
      <c r="M51" s="31" t="s">
        <v>24</v>
      </c>
      <c r="N51" s="31" t="s">
        <v>14</v>
      </c>
      <c r="O51" s="31" t="s">
        <v>25</v>
      </c>
      <c r="P51" s="31" t="s">
        <v>15</v>
      </c>
    </row>
    <row r="52" spans="1:17" ht="16.5" thickBot="1" x14ac:dyDescent="0.3">
      <c r="B52" s="14">
        <f>'Исходные данные'!B13</f>
        <v>0.74</v>
      </c>
      <c r="C52" s="40">
        <f>'Исходные данные'!C13</f>
        <v>84</v>
      </c>
      <c r="D52" s="40">
        <f>'Исходные данные'!F13</f>
        <v>67.599999999999994</v>
      </c>
      <c r="E52" s="14">
        <f t="shared" si="28"/>
        <v>7056</v>
      </c>
      <c r="F52" s="14">
        <f t="shared" si="29"/>
        <v>4569.7599999999993</v>
      </c>
      <c r="G52" s="14">
        <f t="shared" si="30"/>
        <v>5678.4</v>
      </c>
      <c r="H52" s="14">
        <f t="shared" si="31"/>
        <v>62.16</v>
      </c>
      <c r="I52" s="14">
        <f t="shared" si="32"/>
        <v>50.023999999999994</v>
      </c>
      <c r="J52" s="14">
        <f t="shared" si="33"/>
        <v>-3.1638386907570926E-2</v>
      </c>
      <c r="K52" s="14">
        <f t="shared" si="34"/>
        <v>0.59542580014931812</v>
      </c>
      <c r="M52" s="15">
        <f>Q38/Q47</f>
        <v>-0.95854963715672525</v>
      </c>
      <c r="N52" s="15">
        <f>Q41/Q47</f>
        <v>-4.6285702136637094E-3</v>
      </c>
      <c r="O52" s="15">
        <f>Q44/Q47</f>
        <v>1.9463182665634706E-2</v>
      </c>
      <c r="P52" s="15">
        <f>K53/COUNT(B41:B52)</f>
        <v>0.51974849904779474</v>
      </c>
    </row>
    <row r="53" spans="1:17" ht="16.5" thickBot="1" x14ac:dyDescent="0.3">
      <c r="A53" s="13" t="s">
        <v>10</v>
      </c>
      <c r="B53" s="15">
        <f>SUM(B41:B52)</f>
        <v>10.252000000000001</v>
      </c>
      <c r="C53" s="41">
        <f t="shared" ref="C53" si="37">SUM(C41:C52)</f>
        <v>932.80000000000007</v>
      </c>
      <c r="D53" s="41">
        <f t="shared" ref="D53" si="38">SUM(D41:D52)</f>
        <v>895.90000000000009</v>
      </c>
      <c r="E53" s="15">
        <f t="shared" ref="E53" si="39">SUM(E41:E52)</f>
        <v>72711.58</v>
      </c>
      <c r="F53" s="15">
        <f t="shared" ref="F53" si="40">SUM(F41:F52)</f>
        <v>67207.009999999995</v>
      </c>
      <c r="G53" s="15">
        <f t="shared" ref="G53" si="41">SUM(G41:G52)</f>
        <v>69730.52</v>
      </c>
      <c r="H53" s="15">
        <f t="shared" ref="H53" si="42">SUM(H41:H52)</f>
        <v>799.59339999999986</v>
      </c>
      <c r="I53" s="15">
        <f t="shared" ref="I53" si="43">SUM(I41:I52)</f>
        <v>772.05030000000011</v>
      </c>
      <c r="J53" s="15">
        <f t="shared" ref="J53" si="44">SUM(J41:J52)</f>
        <v>1.6169394089559219</v>
      </c>
      <c r="K53" s="15">
        <f t="shared" ref="K53" si="45">SUM(K41:K52)</f>
        <v>6.2369819885735369</v>
      </c>
    </row>
    <row r="55" spans="1:17" ht="15.75" thickBot="1" x14ac:dyDescent="0.3">
      <c r="A55">
        <v>4</v>
      </c>
    </row>
    <row r="56" spans="1:17" ht="16.5" thickBot="1" x14ac:dyDescent="0.3">
      <c r="B56" s="5" t="s">
        <v>6</v>
      </c>
      <c r="C56" s="18"/>
      <c r="D56" s="6"/>
      <c r="E56" s="7" t="s">
        <v>7</v>
      </c>
      <c r="F56" s="8"/>
      <c r="G56" s="8"/>
      <c r="H56" s="8"/>
      <c r="I56" s="8"/>
      <c r="J56" s="8"/>
      <c r="K56" s="9"/>
      <c r="M56" s="23" t="s">
        <v>11</v>
      </c>
      <c r="N56" s="14">
        <f>C71</f>
        <v>250.99999999999997</v>
      </c>
      <c r="O56" s="14">
        <f>D71</f>
        <v>66149</v>
      </c>
      <c r="P56" s="27">
        <f>B71</f>
        <v>10.252000000000001</v>
      </c>
      <c r="Q56" s="28">
        <f>(N56*O57*P58+O56*N58*P57+N57*O58*P56)-(P56*O57*N58+O56*N57*P58+P57*O58*N56)</f>
        <v>1101495234553.875</v>
      </c>
    </row>
    <row r="57" spans="1:17" ht="16.5" thickBot="1" x14ac:dyDescent="0.3">
      <c r="B57" s="10"/>
      <c r="C57" s="19"/>
      <c r="D57" s="11"/>
      <c r="E57" s="20" t="s">
        <v>8</v>
      </c>
      <c r="F57" s="21"/>
      <c r="G57" s="21"/>
      <c r="H57" s="21"/>
      <c r="I57" s="22"/>
      <c r="J57" s="7" t="s">
        <v>9</v>
      </c>
      <c r="K57" s="9"/>
      <c r="L57" s="16"/>
      <c r="M57" s="24"/>
      <c r="N57" s="14">
        <f>E71</f>
        <v>5366.66</v>
      </c>
      <c r="O57" s="14">
        <f>G71</f>
        <v>1345076.1</v>
      </c>
      <c r="P57" s="27">
        <f>H71</f>
        <v>212.49269999999999</v>
      </c>
      <c r="Q57" s="29"/>
    </row>
    <row r="58" spans="1:17" ht="21" thickBot="1" x14ac:dyDescent="0.4">
      <c r="B58" s="12" t="s">
        <v>0</v>
      </c>
      <c r="C58" s="12" t="s">
        <v>2</v>
      </c>
      <c r="D58" s="12" t="s">
        <v>3</v>
      </c>
      <c r="E58" s="12" t="s">
        <v>19</v>
      </c>
      <c r="F58" s="12" t="s">
        <v>27</v>
      </c>
      <c r="G58" s="12" t="s">
        <v>16</v>
      </c>
      <c r="H58" s="12" t="s">
        <v>22</v>
      </c>
      <c r="I58" s="12" t="s">
        <v>29</v>
      </c>
      <c r="J58" s="17" t="s">
        <v>37</v>
      </c>
      <c r="K58" s="12" t="s">
        <v>38</v>
      </c>
      <c r="L58" s="16"/>
      <c r="M58" s="25"/>
      <c r="N58" s="14">
        <f>G71</f>
        <v>1345076.1</v>
      </c>
      <c r="O58" s="14">
        <f>F71</f>
        <v>1050647173</v>
      </c>
      <c r="P58" s="27">
        <f>I71</f>
        <v>58987.296999999999</v>
      </c>
      <c r="Q58" s="30"/>
    </row>
    <row r="59" spans="1:17" ht="15.75" x14ac:dyDescent="0.25">
      <c r="B59" s="14">
        <f>'Исходные данные'!B2</f>
        <v>0.90400000000000003</v>
      </c>
      <c r="C59" s="14">
        <f>'Исходные данные'!D2</f>
        <v>25.2</v>
      </c>
      <c r="D59" s="14">
        <f>'Исходные данные'!E2</f>
        <v>3343</v>
      </c>
      <c r="E59" s="14">
        <f>C59*C59</f>
        <v>635.04</v>
      </c>
      <c r="F59" s="14">
        <f>D59*D59</f>
        <v>11175649</v>
      </c>
      <c r="G59" s="14">
        <f>C59*D59</f>
        <v>84243.599999999991</v>
      </c>
      <c r="H59" s="14">
        <f>B59*C59</f>
        <v>22.780799999999999</v>
      </c>
      <c r="I59" s="14">
        <f>B59*D59</f>
        <v>3022.0720000000001</v>
      </c>
      <c r="J59" s="14">
        <f>$M$70+$N$70*C59+$O$70*D59</f>
        <v>1.5763812353967626</v>
      </c>
      <c r="K59" s="14">
        <f>(B59-J59)*(B59-J59)</f>
        <v>0.45209652571367659</v>
      </c>
      <c r="M59" s="23" t="s">
        <v>12</v>
      </c>
      <c r="N59" s="14">
        <f>COUNT(B59:B70)</f>
        <v>12</v>
      </c>
      <c r="O59" s="14">
        <f>D71</f>
        <v>66149</v>
      </c>
      <c r="P59" s="14">
        <f>B71</f>
        <v>10.252000000000001</v>
      </c>
      <c r="Q59" s="28">
        <f>(N59*O60*P61+O59*N61*P60+N60*O61*P59)-(P59*O60*N61+O59*N60*P61+P60*O61*N59)</f>
        <v>14866922688.498047</v>
      </c>
    </row>
    <row r="60" spans="1:17" ht="15.75" x14ac:dyDescent="0.25">
      <c r="B60" s="14">
        <f>'Исходные данные'!B3</f>
        <v>0.92200000000000004</v>
      </c>
      <c r="C60" s="14">
        <f>'Исходные данные'!D3</f>
        <v>21.8</v>
      </c>
      <c r="D60" s="14">
        <f>'Исходные данные'!E3</f>
        <v>3001</v>
      </c>
      <c r="E60" s="14">
        <f t="shared" ref="E60:E70" si="46">C60*C60</f>
        <v>475.24</v>
      </c>
      <c r="F60" s="14">
        <f t="shared" ref="F60:F70" si="47">D60*D60</f>
        <v>9006001</v>
      </c>
      <c r="G60" s="14">
        <f t="shared" ref="G60:G70" si="48">C60*D60</f>
        <v>65421.8</v>
      </c>
      <c r="H60" s="14">
        <f t="shared" ref="H60:H70" si="49">B60*C60</f>
        <v>20.099600000000002</v>
      </c>
      <c r="I60" s="14">
        <f t="shared" ref="I60:I70" si="50">B60*D60</f>
        <v>2766.922</v>
      </c>
      <c r="J60" s="14">
        <f t="shared" ref="J60:J70" si="51">$M$70+$N$70*C60+$O$70*D60</f>
        <v>1.5217824221156726</v>
      </c>
      <c r="K60" s="14">
        <f t="shared" ref="K60:K70" si="52">(B60-J60)*(B60-J60)</f>
        <v>0.35973895387894284</v>
      </c>
      <c r="M60" s="24"/>
      <c r="N60" s="14">
        <f>C71</f>
        <v>250.99999999999997</v>
      </c>
      <c r="O60" s="14">
        <f>G71</f>
        <v>1345076.1</v>
      </c>
      <c r="P60" s="14">
        <f>H71</f>
        <v>212.49269999999999</v>
      </c>
      <c r="Q60" s="29"/>
    </row>
    <row r="61" spans="1:17" ht="16.5" thickBot="1" x14ac:dyDescent="0.3">
      <c r="B61" s="14">
        <f>'Исходные данные'!B4</f>
        <v>0.76300000000000001</v>
      </c>
      <c r="C61" s="14">
        <f>'Исходные данные'!D4</f>
        <v>25.7</v>
      </c>
      <c r="D61" s="14">
        <f>'Исходные данные'!E4</f>
        <v>3101</v>
      </c>
      <c r="E61" s="14">
        <f t="shared" si="46"/>
        <v>660.49</v>
      </c>
      <c r="F61" s="14">
        <f t="shared" si="47"/>
        <v>9616201</v>
      </c>
      <c r="G61" s="14">
        <f t="shared" si="48"/>
        <v>79695.7</v>
      </c>
      <c r="H61" s="14">
        <f t="shared" si="49"/>
        <v>19.609100000000002</v>
      </c>
      <c r="I61" s="14">
        <f t="shared" si="50"/>
        <v>2366.0630000000001</v>
      </c>
      <c r="J61" s="14">
        <f t="shared" si="51"/>
        <v>1.5836155580054945</v>
      </c>
      <c r="K61" s="14">
        <f t="shared" si="52"/>
        <v>0.67340989404066909</v>
      </c>
      <c r="L61" s="16"/>
      <c r="M61" s="25"/>
      <c r="N61" s="14">
        <f>D71</f>
        <v>66149</v>
      </c>
      <c r="O61" s="14">
        <f>F71</f>
        <v>1050647173</v>
      </c>
      <c r="P61" s="14">
        <f>I71</f>
        <v>58987.296999999999</v>
      </c>
      <c r="Q61" s="30"/>
    </row>
    <row r="62" spans="1:17" ht="15.75" x14ac:dyDescent="0.25">
      <c r="B62" s="14">
        <f>'Исходные данные'!B5</f>
        <v>0.92300000000000004</v>
      </c>
      <c r="C62" s="14">
        <f>'Исходные данные'!D5</f>
        <v>17.8</v>
      </c>
      <c r="D62" s="14">
        <f>'Исходные данные'!E5</f>
        <v>3543</v>
      </c>
      <c r="E62" s="14">
        <f t="shared" si="46"/>
        <v>316.84000000000003</v>
      </c>
      <c r="F62" s="14">
        <f t="shared" si="47"/>
        <v>12552849</v>
      </c>
      <c r="G62" s="14">
        <f t="shared" si="48"/>
        <v>63065.4</v>
      </c>
      <c r="H62" s="14">
        <f t="shared" si="49"/>
        <v>16.429400000000001</v>
      </c>
      <c r="I62" s="14">
        <f t="shared" si="50"/>
        <v>3270.1890000000003</v>
      </c>
      <c r="J62" s="14">
        <f t="shared" si="51"/>
        <v>1.4601167591160387</v>
      </c>
      <c r="K62" s="14">
        <f t="shared" si="52"/>
        <v>0.28849441292331668</v>
      </c>
      <c r="M62" s="23" t="s">
        <v>23</v>
      </c>
      <c r="N62" s="14">
        <f>COUNT(B59:B70)</f>
        <v>12</v>
      </c>
      <c r="O62" s="14">
        <f>C71</f>
        <v>250.99999999999997</v>
      </c>
      <c r="P62" s="14">
        <f>B71</f>
        <v>10.252000000000001</v>
      </c>
      <c r="Q62" s="28">
        <f t="shared" ref="Q62" si="53">(N62*O63*P64+O62*N64*P63+N63*O64*P62)-(P62*O63*N64+O62*N63*P64+P63*O64*N62)</f>
        <v>2561410.4804191589</v>
      </c>
    </row>
    <row r="63" spans="1:17" ht="15.75" x14ac:dyDescent="0.25">
      <c r="B63" s="14">
        <f>'Исходные данные'!B6</f>
        <v>0.91800000000000004</v>
      </c>
      <c r="C63" s="14">
        <f>'Исходные данные'!D6</f>
        <v>15.9</v>
      </c>
      <c r="D63" s="14">
        <f>'Исходные данные'!E6</f>
        <v>3237</v>
      </c>
      <c r="E63" s="14">
        <f t="shared" si="46"/>
        <v>252.81</v>
      </c>
      <c r="F63" s="14">
        <f t="shared" si="47"/>
        <v>10478169</v>
      </c>
      <c r="G63" s="14">
        <f t="shared" si="48"/>
        <v>51468.3</v>
      </c>
      <c r="H63" s="14">
        <f t="shared" si="49"/>
        <v>14.596200000000001</v>
      </c>
      <c r="I63" s="14">
        <f t="shared" si="50"/>
        <v>2971.5660000000003</v>
      </c>
      <c r="J63" s="14">
        <f>$M$70+$N$70*C63+$O$70*D63</f>
        <v>1.4292932268482972</v>
      </c>
      <c r="K63" s="14">
        <f t="shared" si="52"/>
        <v>0.26142076382094426</v>
      </c>
      <c r="M63" s="24"/>
      <c r="N63" s="14">
        <f>C71</f>
        <v>250.99999999999997</v>
      </c>
      <c r="O63" s="14">
        <f>E71</f>
        <v>5366.66</v>
      </c>
      <c r="P63" s="14">
        <f>H71</f>
        <v>212.49269999999999</v>
      </c>
      <c r="Q63" s="29"/>
    </row>
    <row r="64" spans="1:17" ht="16.5" thickBot="1" x14ac:dyDescent="0.3">
      <c r="B64" s="14">
        <f>'Исходные данные'!B7</f>
        <v>0.90600000000000003</v>
      </c>
      <c r="C64" s="14">
        <f>'Исходные данные'!D7</f>
        <v>22.4</v>
      </c>
      <c r="D64" s="14">
        <f>'Исходные данные'!E7</f>
        <v>3330</v>
      </c>
      <c r="E64" s="14">
        <f t="shared" si="46"/>
        <v>501.75999999999993</v>
      </c>
      <c r="F64" s="14">
        <f t="shared" si="47"/>
        <v>11088900</v>
      </c>
      <c r="G64" s="14">
        <f t="shared" si="48"/>
        <v>74592</v>
      </c>
      <c r="H64" s="14">
        <f t="shared" si="49"/>
        <v>20.2944</v>
      </c>
      <c r="I64" s="14">
        <f t="shared" si="50"/>
        <v>3016.98</v>
      </c>
      <c r="J64" s="14">
        <f t="shared" si="51"/>
        <v>1.5321481115927684</v>
      </c>
      <c r="K64" s="14">
        <f t="shared" si="52"/>
        <v>0.39206145765118994</v>
      </c>
      <c r="L64" s="16"/>
      <c r="M64" s="25"/>
      <c r="N64" s="14">
        <f>D71</f>
        <v>66149</v>
      </c>
      <c r="O64" s="14">
        <f>G71</f>
        <v>1345076.1</v>
      </c>
      <c r="P64" s="14">
        <f>I71</f>
        <v>58987.296999999999</v>
      </c>
      <c r="Q64" s="30"/>
    </row>
    <row r="65" spans="1:17" ht="15.75" x14ac:dyDescent="0.25">
      <c r="B65" s="14">
        <f>'Исходные данные'!B8</f>
        <v>0.90500000000000003</v>
      </c>
      <c r="C65" s="14">
        <f>'Исходные данные'!D8</f>
        <v>20.6</v>
      </c>
      <c r="D65" s="14">
        <f>'Исходные данные'!E8</f>
        <v>3808</v>
      </c>
      <c r="E65" s="14">
        <f t="shared" si="46"/>
        <v>424.36000000000007</v>
      </c>
      <c r="F65" s="14">
        <f t="shared" si="47"/>
        <v>14500864</v>
      </c>
      <c r="G65" s="14">
        <f t="shared" si="48"/>
        <v>78444.800000000003</v>
      </c>
      <c r="H65" s="14">
        <f t="shared" si="49"/>
        <v>18.643000000000001</v>
      </c>
      <c r="I65" s="14">
        <f t="shared" si="50"/>
        <v>3446.2400000000002</v>
      </c>
      <c r="J65" s="14">
        <f t="shared" si="51"/>
        <v>1.505035214840194</v>
      </c>
      <c r="K65" s="14">
        <f t="shared" si="52"/>
        <v>0.36004225904831771</v>
      </c>
      <c r="M65" s="24" t="s">
        <v>13</v>
      </c>
      <c r="N65" s="14">
        <f>COUNT(B59:B70)</f>
        <v>12</v>
      </c>
      <c r="O65" s="14">
        <f>C71</f>
        <v>250.99999999999997</v>
      </c>
      <c r="P65" s="14">
        <f>D71</f>
        <v>66149</v>
      </c>
      <c r="Q65" s="28">
        <f t="shared" ref="Q65" si="54">(N65*O66*P67+O65*N67*P66+N66*O67*P65)-(P65*O66*N67+O65*N66*P67+P66*O67*N65)</f>
        <v>941843538987.8125</v>
      </c>
    </row>
    <row r="66" spans="1:17" ht="15.75" x14ac:dyDescent="0.25">
      <c r="B66" s="14">
        <f>'Исходные данные'!B9</f>
        <v>0.54500000000000004</v>
      </c>
      <c r="C66" s="14">
        <f>'Исходные данные'!D9</f>
        <v>25.2</v>
      </c>
      <c r="D66" s="14">
        <f>'Исходные данные'!E9</f>
        <v>2415</v>
      </c>
      <c r="E66" s="14">
        <f t="shared" si="46"/>
        <v>635.04</v>
      </c>
      <c r="F66" s="14">
        <f t="shared" si="47"/>
        <v>5832225</v>
      </c>
      <c r="G66" s="14">
        <f t="shared" si="48"/>
        <v>60858</v>
      </c>
      <c r="H66" s="14">
        <f t="shared" si="49"/>
        <v>13.734</v>
      </c>
      <c r="I66" s="14">
        <f t="shared" si="50"/>
        <v>1316.1750000000002</v>
      </c>
      <c r="J66" s="14">
        <f t="shared" si="51"/>
        <v>1.573857473405059</v>
      </c>
      <c r="K66" s="14">
        <f t="shared" si="52"/>
        <v>1.0585477005814419</v>
      </c>
      <c r="M66" s="24"/>
      <c r="N66" s="14">
        <f>C71</f>
        <v>250.99999999999997</v>
      </c>
      <c r="O66" s="14">
        <f>E71</f>
        <v>5366.66</v>
      </c>
      <c r="P66" s="14">
        <f>G71</f>
        <v>1345076.1</v>
      </c>
      <c r="Q66" s="29"/>
    </row>
    <row r="67" spans="1:17" ht="16.5" thickBot="1" x14ac:dyDescent="0.3">
      <c r="B67" s="14">
        <f>'Исходные данные'!B10</f>
        <v>0.89400000000000002</v>
      </c>
      <c r="C67" s="14">
        <f>'Исходные данные'!D10</f>
        <v>20.7</v>
      </c>
      <c r="D67" s="14">
        <f>'Исходные данные'!E10</f>
        <v>3295</v>
      </c>
      <c r="E67" s="14">
        <f t="shared" si="46"/>
        <v>428.48999999999995</v>
      </c>
      <c r="F67" s="14">
        <f t="shared" si="47"/>
        <v>10857025</v>
      </c>
      <c r="G67" s="14">
        <f t="shared" si="48"/>
        <v>68206.5</v>
      </c>
      <c r="H67" s="14">
        <f t="shared" si="49"/>
        <v>18.505800000000001</v>
      </c>
      <c r="I67" s="14">
        <f t="shared" si="50"/>
        <v>2945.73</v>
      </c>
      <c r="J67" s="14">
        <f t="shared" si="51"/>
        <v>1.5052185666234212</v>
      </c>
      <c r="K67" s="14">
        <f t="shared" si="52"/>
        <v>0.3735881361851896</v>
      </c>
      <c r="M67" s="25"/>
      <c r="N67" s="14">
        <f>D71</f>
        <v>66149</v>
      </c>
      <c r="O67" s="14">
        <f>G71</f>
        <v>1345076.1</v>
      </c>
      <c r="P67" s="14">
        <f>F71</f>
        <v>1050647173</v>
      </c>
      <c r="Q67" s="30"/>
    </row>
    <row r="68" spans="1:17" ht="15.75" x14ac:dyDescent="0.25">
      <c r="B68" s="14">
        <f>'Исходные данные'!B11</f>
        <v>0.9</v>
      </c>
      <c r="C68" s="14">
        <f>'Исходные данные'!D11</f>
        <v>17.5</v>
      </c>
      <c r="D68" s="14">
        <f>'Исходные данные'!E11</f>
        <v>3504</v>
      </c>
      <c r="E68" s="14">
        <f t="shared" si="46"/>
        <v>306.25</v>
      </c>
      <c r="F68" s="14">
        <f t="shared" si="47"/>
        <v>12278016</v>
      </c>
      <c r="G68" s="14">
        <f t="shared" si="48"/>
        <v>61320</v>
      </c>
      <c r="H68" s="14">
        <f t="shared" si="49"/>
        <v>15.75</v>
      </c>
      <c r="I68" s="14">
        <f t="shared" si="50"/>
        <v>3153.6</v>
      </c>
      <c r="J68" s="14">
        <f t="shared" si="51"/>
        <v>1.4552752205520154</v>
      </c>
      <c r="K68" s="14">
        <f t="shared" si="52"/>
        <v>0.30833057055908936</v>
      </c>
    </row>
    <row r="69" spans="1:17" ht="16.5" thickBot="1" x14ac:dyDescent="0.3">
      <c r="B69" s="14">
        <f>'Исходные данные'!B12</f>
        <v>0.93200000000000005</v>
      </c>
      <c r="C69" s="14">
        <f>'Исходные данные'!D12</f>
        <v>19.7</v>
      </c>
      <c r="D69" s="14">
        <f>'Исходные данные'!E12</f>
        <v>30565</v>
      </c>
      <c r="E69" s="14">
        <f t="shared" si="46"/>
        <v>388.09</v>
      </c>
      <c r="F69" s="14">
        <f t="shared" si="47"/>
        <v>934219225</v>
      </c>
      <c r="G69" s="14">
        <f t="shared" si="48"/>
        <v>602130.5</v>
      </c>
      <c r="H69" s="14">
        <f t="shared" si="49"/>
        <v>18.360400000000002</v>
      </c>
      <c r="I69" s="14">
        <f t="shared" si="50"/>
        <v>28486.58</v>
      </c>
      <c r="J69" s="14">
        <f t="shared" si="51"/>
        <v>1.5635963532052795</v>
      </c>
      <c r="K69" s="14">
        <f t="shared" si="52"/>
        <v>0.39891395338220803</v>
      </c>
      <c r="M69" s="31" t="s">
        <v>24</v>
      </c>
      <c r="N69" s="31" t="s">
        <v>14</v>
      </c>
      <c r="O69" s="31" t="s">
        <v>25</v>
      </c>
      <c r="P69" s="31" t="s">
        <v>15</v>
      </c>
    </row>
    <row r="70" spans="1:17" ht="16.5" thickBot="1" x14ac:dyDescent="0.3">
      <c r="B70" s="14">
        <f>'Исходные данные'!B13</f>
        <v>0.74</v>
      </c>
      <c r="C70" s="14">
        <f>'Исходные данные'!D13</f>
        <v>18.5</v>
      </c>
      <c r="D70" s="14">
        <f>'Исходные данные'!E13</f>
        <v>3007</v>
      </c>
      <c r="E70" s="14">
        <f t="shared" si="46"/>
        <v>342.25</v>
      </c>
      <c r="F70" s="14">
        <f t="shared" si="47"/>
        <v>9042049</v>
      </c>
      <c r="G70" s="14">
        <f t="shared" si="48"/>
        <v>55629.5</v>
      </c>
      <c r="H70" s="14">
        <f t="shared" si="49"/>
        <v>13.69</v>
      </c>
      <c r="I70" s="14">
        <f t="shared" si="50"/>
        <v>2225.1799999999998</v>
      </c>
      <c r="J70" s="14">
        <f t="shared" si="51"/>
        <v>1.4697085113450263</v>
      </c>
      <c r="K70" s="14">
        <f t="shared" si="52"/>
        <v>0.53247451152937442</v>
      </c>
      <c r="M70" s="15">
        <f>Q56/Q65</f>
        <v>1.1695097847543108</v>
      </c>
      <c r="N70" s="15">
        <f>Q59/Q65</f>
        <v>1.5784917635550531E-2</v>
      </c>
      <c r="O70" s="15">
        <f>Q62/Q65</f>
        <v>2.7195711117494896E-6</v>
      </c>
      <c r="P70" s="15">
        <f>K71/COUNT(B59:B70)</f>
        <v>0.45492659494286342</v>
      </c>
    </row>
    <row r="71" spans="1:17" ht="16.5" thickBot="1" x14ac:dyDescent="0.3">
      <c r="A71" s="13" t="s">
        <v>10</v>
      </c>
      <c r="B71" s="15">
        <f>SUM(B59:B70)</f>
        <v>10.252000000000001</v>
      </c>
      <c r="C71" s="15">
        <f t="shared" ref="C71" si="55">SUM(C59:C70)</f>
        <v>250.99999999999997</v>
      </c>
      <c r="D71" s="15">
        <f t="shared" ref="D71" si="56">SUM(D59:D70)</f>
        <v>66149</v>
      </c>
      <c r="E71" s="15">
        <f t="shared" ref="E71" si="57">SUM(E59:E70)</f>
        <v>5366.66</v>
      </c>
      <c r="F71" s="15">
        <f t="shared" ref="F71" si="58">SUM(F59:F70)</f>
        <v>1050647173</v>
      </c>
      <c r="G71" s="15">
        <f t="shared" ref="G71" si="59">SUM(G59:G70)</f>
        <v>1345076.1</v>
      </c>
      <c r="H71" s="15">
        <f t="shared" ref="H71" si="60">SUM(H59:H70)</f>
        <v>212.49269999999999</v>
      </c>
      <c r="I71" s="15">
        <f t="shared" ref="I71" si="61">SUM(I59:I70)</f>
        <v>58987.296999999999</v>
      </c>
      <c r="J71" s="15">
        <f t="shared" ref="J71" si="62">SUM(J59:J70)</f>
        <v>18.176028653046032</v>
      </c>
      <c r="K71" s="15">
        <f t="shared" ref="K71" si="63">SUM(K59:K70)</f>
        <v>5.4591191393143612</v>
      </c>
    </row>
    <row r="73" spans="1:17" ht="15.75" thickBot="1" x14ac:dyDescent="0.3">
      <c r="A73">
        <v>5</v>
      </c>
    </row>
    <row r="74" spans="1:17" ht="16.5" thickBot="1" x14ac:dyDescent="0.3">
      <c r="B74" s="5" t="s">
        <v>6</v>
      </c>
      <c r="C74" s="18"/>
      <c r="D74" s="6"/>
      <c r="E74" s="7" t="s">
        <v>7</v>
      </c>
      <c r="F74" s="8"/>
      <c r="G74" s="8"/>
      <c r="H74" s="8"/>
      <c r="I74" s="8"/>
      <c r="J74" s="8"/>
      <c r="K74" s="9"/>
      <c r="M74" s="23" t="s">
        <v>11</v>
      </c>
      <c r="N74" s="14">
        <f>C89</f>
        <v>250.99999999999997</v>
      </c>
      <c r="O74" s="14">
        <f>D89</f>
        <v>895.90000000000009</v>
      </c>
      <c r="P74" s="27">
        <f>B89</f>
        <v>10.252000000000001</v>
      </c>
      <c r="Q74" s="28">
        <f>(N74*O75*P76+O74*N76*P75+N75*O76*P74)-(P74*O75*N76+O74*N75*P76+P75*O76*N74)</f>
        <v>-229247.30378913879</v>
      </c>
    </row>
    <row r="75" spans="1:17" ht="16.5" thickBot="1" x14ac:dyDescent="0.3">
      <c r="B75" s="10"/>
      <c r="C75" s="19"/>
      <c r="D75" s="11"/>
      <c r="E75" s="20" t="s">
        <v>8</v>
      </c>
      <c r="F75" s="21"/>
      <c r="G75" s="21"/>
      <c r="H75" s="21"/>
      <c r="I75" s="22"/>
      <c r="J75" s="7" t="s">
        <v>9</v>
      </c>
      <c r="K75" s="9"/>
      <c r="L75" s="16"/>
      <c r="M75" s="24"/>
      <c r="N75" s="14">
        <f>E89</f>
        <v>5366.66</v>
      </c>
      <c r="O75" s="14">
        <f>G89</f>
        <v>18650.62</v>
      </c>
      <c r="P75" s="27">
        <f>H89</f>
        <v>212.49269999999999</v>
      </c>
      <c r="Q75" s="29"/>
    </row>
    <row r="76" spans="1:17" ht="21" thickBot="1" x14ac:dyDescent="0.4">
      <c r="B76" s="12" t="s">
        <v>0</v>
      </c>
      <c r="C76" s="12" t="s">
        <v>2</v>
      </c>
      <c r="D76" s="12" t="s">
        <v>4</v>
      </c>
      <c r="E76" s="12" t="s">
        <v>19</v>
      </c>
      <c r="F76" s="12" t="s">
        <v>32</v>
      </c>
      <c r="G76" s="12" t="s">
        <v>39</v>
      </c>
      <c r="H76" s="12" t="s">
        <v>22</v>
      </c>
      <c r="I76" s="12" t="s">
        <v>34</v>
      </c>
      <c r="J76" s="17" t="s">
        <v>41</v>
      </c>
      <c r="K76" s="12" t="s">
        <v>40</v>
      </c>
      <c r="L76" s="16"/>
      <c r="M76" s="25"/>
      <c r="N76" s="14">
        <f>G89</f>
        <v>18650.62</v>
      </c>
      <c r="O76" s="14">
        <f>F89</f>
        <v>67207.009999999995</v>
      </c>
      <c r="P76" s="27">
        <f>I89</f>
        <v>772.05030000000011</v>
      </c>
      <c r="Q76" s="30"/>
    </row>
    <row r="77" spans="1:17" ht="15.75" x14ac:dyDescent="0.25">
      <c r="B77" s="14">
        <f>'Исходные данные'!B2</f>
        <v>0.90400000000000003</v>
      </c>
      <c r="C77" s="14">
        <f>'Исходные данные'!D2</f>
        <v>25.2</v>
      </c>
      <c r="D77" s="14">
        <f>'Исходные данные'!F2</f>
        <v>77</v>
      </c>
      <c r="E77" s="14">
        <f>C77*C77</f>
        <v>635.04</v>
      </c>
      <c r="F77" s="14">
        <f>D77*D77</f>
        <v>5929</v>
      </c>
      <c r="G77" s="14">
        <f>C77*D77</f>
        <v>1940.3999999999999</v>
      </c>
      <c r="H77" s="14">
        <f>B77*C77</f>
        <v>22.780799999999999</v>
      </c>
      <c r="I77" s="14">
        <f>B77*D77</f>
        <v>69.608000000000004</v>
      </c>
      <c r="J77" s="14">
        <f>$M$88+$N$88*C77+$O$88*D77</f>
        <v>0.95524397920655613</v>
      </c>
      <c r="K77" s="14">
        <f>(B77-J77)*(B77-J77)</f>
        <v>2.6259454049219538E-3</v>
      </c>
      <c r="M77" s="23" t="s">
        <v>12</v>
      </c>
      <c r="N77" s="14">
        <f>COUNT(B77:B88)</f>
        <v>12</v>
      </c>
      <c r="O77" s="14">
        <f>D89</f>
        <v>895.90000000000009</v>
      </c>
      <c r="P77" s="14">
        <f>B89</f>
        <v>10.252000000000001</v>
      </c>
      <c r="Q77" s="28">
        <f>(N77*O78*P79+O77*N79*P78+N78*O79*P77)-(P77*O78*N79+O77*N78*P79+P78*O79*N77)</f>
        <v>407.61942899227142</v>
      </c>
    </row>
    <row r="78" spans="1:17" ht="15.75" x14ac:dyDescent="0.25">
      <c r="B78" s="14">
        <f>'Исходные данные'!B3</f>
        <v>0.92200000000000004</v>
      </c>
      <c r="C78" s="14">
        <f>'Исходные данные'!D3</f>
        <v>21.8</v>
      </c>
      <c r="D78" s="14">
        <f>'Исходные данные'!F3</f>
        <v>78.2</v>
      </c>
      <c r="E78" s="14">
        <f t="shared" ref="E78:E88" si="64">C78*C78</f>
        <v>475.24</v>
      </c>
      <c r="F78" s="14">
        <f t="shared" ref="F78:F88" si="65">D78*D78</f>
        <v>6115.2400000000007</v>
      </c>
      <c r="G78" s="14">
        <f t="shared" ref="G78:G88" si="66">C78*D78</f>
        <v>1704.7600000000002</v>
      </c>
      <c r="H78" s="14">
        <f t="shared" ref="H78:H88" si="67">B78*C78</f>
        <v>20.099600000000002</v>
      </c>
      <c r="I78" s="14">
        <f t="shared" ref="I78:I88" si="68">B78*D78</f>
        <v>72.100400000000008</v>
      </c>
      <c r="J78" s="14">
        <f t="shared" ref="J78:J88" si="69">$M$88+$N$88*C78+$O$88*D78</f>
        <v>0.97585181050301584</v>
      </c>
      <c r="K78" s="14">
        <f t="shared" ref="K78:K87" si="70">(B78-J78)*(B78-J78)</f>
        <v>2.9000174944527222E-3</v>
      </c>
      <c r="M78" s="24"/>
      <c r="N78" s="14">
        <f>C89</f>
        <v>250.99999999999997</v>
      </c>
      <c r="O78" s="14">
        <f>G89</f>
        <v>18650.62</v>
      </c>
      <c r="P78" s="14">
        <f>H89</f>
        <v>212.49269999999999</v>
      </c>
      <c r="Q78" s="29"/>
    </row>
    <row r="79" spans="1:17" ht="16.5" thickBot="1" x14ac:dyDescent="0.3">
      <c r="B79" s="14">
        <f>'Исходные данные'!B4</f>
        <v>0.76300000000000001</v>
      </c>
      <c r="C79" s="14">
        <f>'Исходные данные'!D4</f>
        <v>25.7</v>
      </c>
      <c r="D79" s="14">
        <f>'Исходные данные'!F4</f>
        <v>68</v>
      </c>
      <c r="E79" s="14">
        <f t="shared" si="64"/>
        <v>660.49</v>
      </c>
      <c r="F79" s="14">
        <f t="shared" si="65"/>
        <v>4624</v>
      </c>
      <c r="G79" s="14">
        <f t="shared" si="66"/>
        <v>1747.6</v>
      </c>
      <c r="H79" s="14">
        <f t="shared" si="67"/>
        <v>19.609100000000002</v>
      </c>
      <c r="I79" s="14">
        <f t="shared" si="68"/>
        <v>51.884</v>
      </c>
      <c r="J79" s="14">
        <f t="shared" si="69"/>
        <v>0.7719197682850808</v>
      </c>
      <c r="K79" s="14">
        <f t="shared" si="70"/>
        <v>7.9562266259533039E-5</v>
      </c>
      <c r="L79" s="16"/>
      <c r="M79" s="25"/>
      <c r="N79" s="14">
        <f>D89</f>
        <v>895.90000000000009</v>
      </c>
      <c r="O79" s="14">
        <f>F89</f>
        <v>67207.009999999995</v>
      </c>
      <c r="P79" s="14">
        <f>I89</f>
        <v>772.05030000000011</v>
      </c>
      <c r="Q79" s="30"/>
    </row>
    <row r="80" spans="1:17" ht="15.75" x14ac:dyDescent="0.25">
      <c r="B80" s="14">
        <f>'Исходные данные'!B5</f>
        <v>0.92300000000000004</v>
      </c>
      <c r="C80" s="14">
        <f>'Исходные данные'!D5</f>
        <v>17.8</v>
      </c>
      <c r="D80" s="14">
        <f>'Исходные данные'!F5</f>
        <v>77.2</v>
      </c>
      <c r="E80" s="14">
        <f t="shared" si="64"/>
        <v>316.84000000000003</v>
      </c>
      <c r="F80" s="14">
        <f t="shared" si="65"/>
        <v>5959.84</v>
      </c>
      <c r="G80" s="14">
        <f t="shared" si="66"/>
        <v>1374.16</v>
      </c>
      <c r="H80" s="14">
        <f t="shared" si="67"/>
        <v>16.429400000000001</v>
      </c>
      <c r="I80" s="14">
        <f t="shared" si="68"/>
        <v>71.255600000000001</v>
      </c>
      <c r="J80" s="14">
        <f t="shared" si="69"/>
        <v>0.95081605426183846</v>
      </c>
      <c r="K80" s="14">
        <f t="shared" si="70"/>
        <v>7.7373287469753929E-4</v>
      </c>
      <c r="M80" s="23" t="s">
        <v>23</v>
      </c>
      <c r="N80" s="14">
        <f>COUNT(B77:B88)</f>
        <v>12</v>
      </c>
      <c r="O80" s="14">
        <f>C89</f>
        <v>250.99999999999997</v>
      </c>
      <c r="P80" s="14">
        <f>B89</f>
        <v>10.252000000000001</v>
      </c>
      <c r="Q80" s="28">
        <f t="shared" ref="Q80" si="71">(N80*O81*P82+O80*N82*P81+N81*O82*P80)-(P80*O81*N82+O80*N81*P82+P81*O82*N80)</f>
        <v>7238.7137700021267</v>
      </c>
    </row>
    <row r="81" spans="1:17" ht="15.75" x14ac:dyDescent="0.25">
      <c r="B81" s="14">
        <f>'Исходные данные'!B6</f>
        <v>0.91800000000000004</v>
      </c>
      <c r="C81" s="14">
        <f>'Исходные данные'!D6</f>
        <v>15.9</v>
      </c>
      <c r="D81" s="14">
        <f>'Исходные данные'!F6</f>
        <v>77.2</v>
      </c>
      <c r="E81" s="14">
        <f t="shared" si="64"/>
        <v>252.81</v>
      </c>
      <c r="F81" s="14">
        <f t="shared" si="65"/>
        <v>5959.84</v>
      </c>
      <c r="G81" s="14">
        <f t="shared" si="66"/>
        <v>1227.48</v>
      </c>
      <c r="H81" s="14">
        <f t="shared" si="67"/>
        <v>14.596200000000001</v>
      </c>
      <c r="I81" s="14">
        <f t="shared" si="68"/>
        <v>70.869600000000005</v>
      </c>
      <c r="J81" s="14">
        <f t="shared" si="69"/>
        <v>0.94862987807078825</v>
      </c>
      <c r="K81" s="14">
        <f t="shared" si="70"/>
        <v>9.3818943063135238E-4</v>
      </c>
      <c r="M81" s="24"/>
      <c r="N81" s="14">
        <f>C89</f>
        <v>250.99999999999997</v>
      </c>
      <c r="O81" s="14">
        <f>E89</f>
        <v>5366.66</v>
      </c>
      <c r="P81" s="14">
        <f>H89</f>
        <v>212.49269999999999</v>
      </c>
      <c r="Q81" s="29"/>
    </row>
    <row r="82" spans="1:17" ht="16.5" thickBot="1" x14ac:dyDescent="0.3">
      <c r="B82" s="14">
        <f>'Исходные данные'!B7</f>
        <v>0.90600000000000003</v>
      </c>
      <c r="C82" s="14">
        <f>'Исходные данные'!D7</f>
        <v>22.4</v>
      </c>
      <c r="D82" s="14">
        <f>'Исходные данные'!F7</f>
        <v>77.2</v>
      </c>
      <c r="E82" s="14">
        <f t="shared" si="64"/>
        <v>501.75999999999993</v>
      </c>
      <c r="F82" s="14">
        <f t="shared" si="65"/>
        <v>5959.84</v>
      </c>
      <c r="G82" s="14">
        <f t="shared" si="66"/>
        <v>1729.28</v>
      </c>
      <c r="H82" s="14">
        <f t="shared" si="67"/>
        <v>20.2944</v>
      </c>
      <c r="I82" s="14">
        <f t="shared" si="68"/>
        <v>69.943200000000004</v>
      </c>
      <c r="J82" s="14">
        <f t="shared" si="69"/>
        <v>0.9561089018822756</v>
      </c>
      <c r="K82" s="14">
        <f t="shared" si="70"/>
        <v>2.51090204784752E-3</v>
      </c>
      <c r="L82" s="16"/>
      <c r="M82" s="25"/>
      <c r="N82" s="14">
        <f>D89</f>
        <v>895.90000000000009</v>
      </c>
      <c r="O82" s="14">
        <f>G89</f>
        <v>18650.62</v>
      </c>
      <c r="P82" s="14">
        <f>I89</f>
        <v>772.05030000000011</v>
      </c>
      <c r="Q82" s="30"/>
    </row>
    <row r="83" spans="1:17" ht="15.75" x14ac:dyDescent="0.25">
      <c r="B83" s="14">
        <f>'Исходные данные'!B8</f>
        <v>0.90500000000000003</v>
      </c>
      <c r="C83" s="14">
        <f>'Исходные данные'!D8</f>
        <v>20.6</v>
      </c>
      <c r="D83" s="14">
        <f>'Исходные данные'!F8</f>
        <v>75.7</v>
      </c>
      <c r="E83" s="14">
        <f t="shared" si="64"/>
        <v>424.36000000000007</v>
      </c>
      <c r="F83" s="14">
        <f t="shared" si="65"/>
        <v>5730.4900000000007</v>
      </c>
      <c r="G83" s="14">
        <f t="shared" si="66"/>
        <v>1559.42</v>
      </c>
      <c r="H83" s="14">
        <f t="shared" si="67"/>
        <v>18.643000000000001</v>
      </c>
      <c r="I83" s="14">
        <f t="shared" si="68"/>
        <v>68.508499999999998</v>
      </c>
      <c r="J83" s="14">
        <f t="shared" si="69"/>
        <v>0.92338786752177815</v>
      </c>
      <c r="K83" s="14">
        <f t="shared" si="70"/>
        <v>3.381136719984627E-4</v>
      </c>
      <c r="M83" s="24" t="s">
        <v>13</v>
      </c>
      <c r="N83" s="14">
        <f>COUNT(B77:B88)</f>
        <v>12</v>
      </c>
      <c r="O83" s="14">
        <f>C89</f>
        <v>250.99999999999997</v>
      </c>
      <c r="P83" s="14">
        <f>D89</f>
        <v>895.90000000000009</v>
      </c>
      <c r="Q83" s="28">
        <f t="shared" ref="Q83" si="72">(N83*O84*P85+O83*N85*P84+N84*O85*P83)-(P83*O84*N85+O83*N84*P85+P84*O85*N83)</f>
        <v>354260.97780036926</v>
      </c>
    </row>
    <row r="84" spans="1:17" ht="15.75" x14ac:dyDescent="0.25">
      <c r="B84" s="14">
        <f>'Исходные данные'!B9</f>
        <v>0.54500000000000004</v>
      </c>
      <c r="C84" s="14">
        <f>'Исходные данные'!D9</f>
        <v>25.2</v>
      </c>
      <c r="D84" s="14">
        <f>'Исходные данные'!F9</f>
        <v>62.6</v>
      </c>
      <c r="E84" s="14">
        <f t="shared" si="64"/>
        <v>635.04</v>
      </c>
      <c r="F84" s="14">
        <f t="shared" si="65"/>
        <v>3918.76</v>
      </c>
      <c r="G84" s="14">
        <f t="shared" si="66"/>
        <v>1577.52</v>
      </c>
      <c r="H84" s="14">
        <f t="shared" si="67"/>
        <v>13.734</v>
      </c>
      <c r="I84" s="14">
        <f t="shared" si="68"/>
        <v>34.117000000000004</v>
      </c>
      <c r="J84" s="14">
        <f t="shared" si="69"/>
        <v>0.66100474649385865</v>
      </c>
      <c r="K84" s="14">
        <f t="shared" si="70"/>
        <v>1.3457101209104401E-2</v>
      </c>
      <c r="M84" s="24"/>
      <c r="N84" s="14">
        <f>C89</f>
        <v>250.99999999999997</v>
      </c>
      <c r="O84" s="14">
        <f>E89</f>
        <v>5366.66</v>
      </c>
      <c r="P84" s="14">
        <f>G89</f>
        <v>18650.62</v>
      </c>
      <c r="Q84" s="29"/>
    </row>
    <row r="85" spans="1:17" ht="16.5" thickBot="1" x14ac:dyDescent="0.3">
      <c r="B85" s="14">
        <f>'Исходные данные'!B10</f>
        <v>0.89400000000000002</v>
      </c>
      <c r="C85" s="14">
        <f>'Исходные данные'!D10</f>
        <v>20.7</v>
      </c>
      <c r="D85" s="14">
        <f>'Исходные данные'!F10</f>
        <v>78</v>
      </c>
      <c r="E85" s="14">
        <f t="shared" si="64"/>
        <v>428.48999999999995</v>
      </c>
      <c r="F85" s="14">
        <f t="shared" si="65"/>
        <v>6084</v>
      </c>
      <c r="G85" s="14">
        <f t="shared" si="66"/>
        <v>1614.6</v>
      </c>
      <c r="H85" s="14">
        <f t="shared" si="67"/>
        <v>18.505800000000001</v>
      </c>
      <c r="I85" s="14">
        <f t="shared" si="68"/>
        <v>69.731999999999999</v>
      </c>
      <c r="J85" s="14">
        <f t="shared" si="69"/>
        <v>0.97049947354040389</v>
      </c>
      <c r="K85" s="14">
        <f t="shared" si="70"/>
        <v>5.852169451958952E-3</v>
      </c>
      <c r="M85" s="25"/>
      <c r="N85" s="14">
        <f>D89</f>
        <v>895.90000000000009</v>
      </c>
      <c r="O85" s="14">
        <f>G89</f>
        <v>18650.62</v>
      </c>
      <c r="P85" s="14">
        <f>F89</f>
        <v>67207.009999999995</v>
      </c>
      <c r="Q85" s="30"/>
    </row>
    <row r="86" spans="1:17" ht="15.75" x14ac:dyDescent="0.25">
      <c r="B86" s="14">
        <f>'Исходные данные'!B11</f>
        <v>0.9</v>
      </c>
      <c r="C86" s="14">
        <f>'Исходные данные'!D11</f>
        <v>17.5</v>
      </c>
      <c r="D86" s="14">
        <f>'Исходные данные'!F11</f>
        <v>78.2</v>
      </c>
      <c r="E86" s="14">
        <f t="shared" si="64"/>
        <v>306.25</v>
      </c>
      <c r="F86" s="14">
        <f t="shared" si="65"/>
        <v>6115.2400000000007</v>
      </c>
      <c r="G86" s="14">
        <f t="shared" si="66"/>
        <v>1368.5</v>
      </c>
      <c r="H86" s="14">
        <f t="shared" si="67"/>
        <v>15.75</v>
      </c>
      <c r="I86" s="14">
        <f t="shared" si="68"/>
        <v>70.38000000000001</v>
      </c>
      <c r="J86" s="14">
        <f t="shared" si="69"/>
        <v>0.97090414859695495</v>
      </c>
      <c r="K86" s="14">
        <f t="shared" si="70"/>
        <v>5.0273982882590657E-3</v>
      </c>
    </row>
    <row r="87" spans="1:17" ht="16.5" thickBot="1" x14ac:dyDescent="0.3">
      <c r="B87" s="14">
        <f>'Исходные данные'!B12</f>
        <v>0.93200000000000005</v>
      </c>
      <c r="C87" s="14">
        <f>'Исходные данные'!D12</f>
        <v>19.7</v>
      </c>
      <c r="D87" s="14">
        <f>'Исходные данные'!F12</f>
        <v>79</v>
      </c>
      <c r="E87" s="14">
        <f t="shared" si="64"/>
        <v>388.09</v>
      </c>
      <c r="F87" s="14">
        <f t="shared" si="65"/>
        <v>6241</v>
      </c>
      <c r="G87" s="14">
        <f t="shared" si="66"/>
        <v>1556.3</v>
      </c>
      <c r="H87" s="14">
        <f t="shared" si="67"/>
        <v>18.360400000000002</v>
      </c>
      <c r="I87" s="14">
        <f t="shared" si="68"/>
        <v>73.628</v>
      </c>
      <c r="J87" s="14">
        <f t="shared" si="69"/>
        <v>0.98978213454197561</v>
      </c>
      <c r="K87" s="14">
        <f t="shared" si="70"/>
        <v>3.3387750722269653E-3</v>
      </c>
      <c r="M87" s="31" t="s">
        <v>24</v>
      </c>
      <c r="N87" s="31" t="s">
        <v>14</v>
      </c>
      <c r="O87" s="31" t="s">
        <v>25</v>
      </c>
      <c r="P87" s="31" t="s">
        <v>15</v>
      </c>
    </row>
    <row r="88" spans="1:17" ht="16.5" thickBot="1" x14ac:dyDescent="0.3">
      <c r="B88" s="14">
        <f>'Исходные данные'!B13</f>
        <v>0.74</v>
      </c>
      <c r="C88" s="14">
        <f>'Исходные данные'!D13</f>
        <v>18.5</v>
      </c>
      <c r="D88" s="14">
        <f>'Исходные данные'!F13</f>
        <v>67.599999999999994</v>
      </c>
      <c r="E88" s="14">
        <f t="shared" si="64"/>
        <v>342.25</v>
      </c>
      <c r="F88" s="14">
        <f t="shared" si="65"/>
        <v>4569.7599999999993</v>
      </c>
      <c r="G88" s="14">
        <f t="shared" si="66"/>
        <v>1250.5999999999999</v>
      </c>
      <c r="H88" s="14">
        <f t="shared" si="67"/>
        <v>13.69</v>
      </c>
      <c r="I88" s="14">
        <f t="shared" si="68"/>
        <v>50.023999999999994</v>
      </c>
      <c r="J88" s="14">
        <f t="shared" si="69"/>
        <v>0.75546199912025136</v>
      </c>
      <c r="K88" s="14">
        <f>(B88-J88)*(B88-J88)</f>
        <v>2.3907341679465409E-4</v>
      </c>
      <c r="M88" s="15">
        <f>Q74/Q83</f>
        <v>-0.64711418461200854</v>
      </c>
      <c r="N88" s="15">
        <f>Q77/Q83</f>
        <v>1.1506190479211357E-3</v>
      </c>
      <c r="O88" s="15">
        <f>Q80/Q83</f>
        <v>2.0433280049492884E-2</v>
      </c>
      <c r="P88" s="15">
        <f>K89/COUNT(B77:B88)</f>
        <v>3.1734150524294264E-3</v>
      </c>
    </row>
    <row r="89" spans="1:17" ht="16.5" thickBot="1" x14ac:dyDescent="0.3">
      <c r="A89" s="13" t="s">
        <v>10</v>
      </c>
      <c r="B89" s="15">
        <f>SUM(B77:B88)</f>
        <v>10.252000000000001</v>
      </c>
      <c r="C89" s="15">
        <f t="shared" ref="C89" si="73">SUM(C77:C88)</f>
        <v>250.99999999999997</v>
      </c>
      <c r="D89" s="15">
        <f t="shared" ref="D89" si="74">SUM(D77:D88)</f>
        <v>895.90000000000009</v>
      </c>
      <c r="E89" s="15">
        <f t="shared" ref="E89" si="75">SUM(E77:E88)</f>
        <v>5366.66</v>
      </c>
      <c r="F89" s="15">
        <f t="shared" ref="F89" si="76">SUM(F77:F88)</f>
        <v>67207.009999999995</v>
      </c>
      <c r="G89" s="15">
        <f t="shared" ref="G89" si="77">SUM(G77:G88)</f>
        <v>18650.62</v>
      </c>
      <c r="H89" s="15">
        <f t="shared" ref="H89" si="78">SUM(H77:H88)</f>
        <v>212.49269999999999</v>
      </c>
      <c r="I89" s="15">
        <f t="shared" ref="I89" si="79">SUM(I77:I88)</f>
        <v>772.05030000000011</v>
      </c>
      <c r="J89" s="15">
        <f>SUM(J77:J88)</f>
        <v>10.829610762024778</v>
      </c>
      <c r="K89" s="15">
        <f t="shared" ref="K89" si="80">SUM(K77:K88)</f>
        <v>3.8080980629153119E-2</v>
      </c>
    </row>
    <row r="91" spans="1:17" ht="15.75" thickBot="1" x14ac:dyDescent="0.3">
      <c r="A91">
        <v>6</v>
      </c>
    </row>
    <row r="92" spans="1:17" ht="16.5" thickBot="1" x14ac:dyDescent="0.3">
      <c r="B92" s="5" t="s">
        <v>6</v>
      </c>
      <c r="C92" s="18"/>
      <c r="D92" s="6"/>
      <c r="E92" s="7" t="s">
        <v>7</v>
      </c>
      <c r="F92" s="8"/>
      <c r="G92" s="8"/>
      <c r="H92" s="8"/>
      <c r="I92" s="8"/>
      <c r="J92" s="8"/>
      <c r="K92" s="9"/>
      <c r="M92" s="23" t="s">
        <v>11</v>
      </c>
      <c r="N92" s="14">
        <f>C107</f>
        <v>66149</v>
      </c>
      <c r="O92" s="14">
        <f>D107</f>
        <v>895.90000000000009</v>
      </c>
      <c r="P92" s="27">
        <f>B107</f>
        <v>10.252000000000001</v>
      </c>
      <c r="Q92" s="28">
        <f>(N92*O93*P94+O92*N94*P93+N93*O94*P92)-(P92*O93*N94+O92*N93*P94+P93*O94*N92)</f>
        <v>-1714617771494.25</v>
      </c>
    </row>
    <row r="93" spans="1:17" ht="16.5" thickBot="1" x14ac:dyDescent="0.3">
      <c r="B93" s="10"/>
      <c r="C93" s="19"/>
      <c r="D93" s="11"/>
      <c r="E93" s="20" t="s">
        <v>8</v>
      </c>
      <c r="F93" s="21"/>
      <c r="G93" s="21"/>
      <c r="H93" s="21"/>
      <c r="I93" s="22"/>
      <c r="J93" s="7" t="s">
        <v>9</v>
      </c>
      <c r="K93" s="9"/>
      <c r="L93" s="16"/>
      <c r="M93" s="24"/>
      <c r="N93" s="14">
        <f>E107</f>
        <v>1050647173</v>
      </c>
      <c r="O93" s="14">
        <f>G107</f>
        <v>5071824.8</v>
      </c>
      <c r="P93" s="27">
        <f>H107</f>
        <v>58987.296999999999</v>
      </c>
      <c r="Q93" s="29"/>
    </row>
    <row r="94" spans="1:17" ht="21" thickBot="1" x14ac:dyDescent="0.4">
      <c r="B94" s="12" t="s">
        <v>0</v>
      </c>
      <c r="C94" s="39" t="s">
        <v>3</v>
      </c>
      <c r="D94" s="39" t="s">
        <v>4</v>
      </c>
      <c r="E94" s="12" t="s">
        <v>27</v>
      </c>
      <c r="F94" s="12" t="s">
        <v>32</v>
      </c>
      <c r="G94" s="12" t="s">
        <v>42</v>
      </c>
      <c r="H94" s="12" t="s">
        <v>29</v>
      </c>
      <c r="I94" s="12" t="s">
        <v>34</v>
      </c>
      <c r="J94" s="17" t="s">
        <v>43</v>
      </c>
      <c r="K94" s="12" t="s">
        <v>44</v>
      </c>
      <c r="L94" s="16"/>
      <c r="M94" s="25"/>
      <c r="N94" s="14">
        <f>G107</f>
        <v>5071824.8</v>
      </c>
      <c r="O94" s="14">
        <f>F107</f>
        <v>67207.009999999995</v>
      </c>
      <c r="P94" s="27">
        <f>I107</f>
        <v>772.05030000000011</v>
      </c>
      <c r="Q94" s="30"/>
    </row>
    <row r="95" spans="1:17" ht="15.75" x14ac:dyDescent="0.25">
      <c r="B95" s="14">
        <f>'Исходные данные'!B2</f>
        <v>0.90400000000000003</v>
      </c>
      <c r="C95" s="40">
        <f>'Исходные данные'!E2</f>
        <v>3343</v>
      </c>
      <c r="D95" s="40">
        <f>'Исходные данные'!F2</f>
        <v>77</v>
      </c>
      <c r="E95" s="14">
        <f>C95*C95</f>
        <v>11175649</v>
      </c>
      <c r="F95" s="14">
        <f>D95*D95</f>
        <v>5929</v>
      </c>
      <c r="G95" s="14">
        <f>C95*D95</f>
        <v>257411</v>
      </c>
      <c r="H95" s="14">
        <f>B95*C95</f>
        <v>3022.0720000000001</v>
      </c>
      <c r="I95" s="14">
        <f>B95*D95</f>
        <v>69.608000000000004</v>
      </c>
      <c r="J95" s="14">
        <f>$M$106+$N$106*C95+$O$106*D95</f>
        <v>0.90746343046101585</v>
      </c>
      <c r="K95" s="14">
        <f>(B95-J95)*(B95-J95)</f>
        <v>1.1995350558292299E-5</v>
      </c>
      <c r="M95" s="23" t="s">
        <v>12</v>
      </c>
      <c r="N95" s="14">
        <f>COUNT(B95:B106)</f>
        <v>12</v>
      </c>
      <c r="O95" s="14">
        <f>D107</f>
        <v>895.90000000000009</v>
      </c>
      <c r="P95" s="14">
        <f>B107</f>
        <v>10.252000000000001</v>
      </c>
      <c r="Q95" s="28">
        <f>(N95*O96*P97+O95*N97*P96+N96*O97*P95)-(P95*O96*N97+O95*N96*P97+P96*O97*N95)</f>
        <v>1120060.0812988281</v>
      </c>
    </row>
    <row r="96" spans="1:17" ht="15.75" x14ac:dyDescent="0.25">
      <c r="B96" s="14">
        <f>'Исходные данные'!B3</f>
        <v>0.92200000000000004</v>
      </c>
      <c r="C96" s="40">
        <f>'Исходные данные'!E3</f>
        <v>3001</v>
      </c>
      <c r="D96" s="40">
        <f>'Исходные данные'!F3</f>
        <v>78.2</v>
      </c>
      <c r="E96" s="14">
        <f t="shared" ref="E96:E106" si="81">C96*C96</f>
        <v>9006001</v>
      </c>
      <c r="F96" s="14">
        <f t="shared" ref="F96:F106" si="82">D96*D96</f>
        <v>6115.2400000000007</v>
      </c>
      <c r="G96" s="14">
        <f t="shared" ref="G96:G106" si="83">C96*D96</f>
        <v>234678.2</v>
      </c>
      <c r="H96" s="14">
        <f t="shared" ref="H96:H106" si="84">B96*C96</f>
        <v>2766.922</v>
      </c>
      <c r="I96" s="14">
        <f t="shared" ref="I96:I106" si="85">B96*D96</f>
        <v>72.100400000000008</v>
      </c>
      <c r="J96" s="14">
        <f t="shared" ref="J96:J106" si="86">$M$106+$N$106*C96+$O$106*D96</f>
        <v>0.93243738601549631</v>
      </c>
      <c r="K96" s="14">
        <f t="shared" ref="K96:K106" si="87">(B96-J96)*(B96-J96)</f>
        <v>1.0893902683647698E-4</v>
      </c>
      <c r="M96" s="24"/>
      <c r="N96" s="14">
        <f>C107</f>
        <v>66149</v>
      </c>
      <c r="O96" s="14">
        <f>G107</f>
        <v>5071824.8</v>
      </c>
      <c r="P96" s="14">
        <f>H107</f>
        <v>58987.296999999999</v>
      </c>
      <c r="Q96" s="29"/>
    </row>
    <row r="97" spans="1:17" ht="16.5" thickBot="1" x14ac:dyDescent="0.3">
      <c r="B97" s="14">
        <f>'Исходные данные'!B4</f>
        <v>0.76300000000000001</v>
      </c>
      <c r="C97" s="40">
        <f>'Исходные данные'!E4</f>
        <v>3101</v>
      </c>
      <c r="D97" s="40">
        <f>'Исходные данные'!F4</f>
        <v>68</v>
      </c>
      <c r="E97" s="14">
        <f t="shared" si="81"/>
        <v>9616201</v>
      </c>
      <c r="F97" s="14">
        <f t="shared" si="82"/>
        <v>4624</v>
      </c>
      <c r="G97" s="14">
        <f t="shared" si="83"/>
        <v>210868</v>
      </c>
      <c r="H97" s="14">
        <f t="shared" si="84"/>
        <v>2366.0630000000001</v>
      </c>
      <c r="I97" s="14">
        <f t="shared" si="85"/>
        <v>51.884</v>
      </c>
      <c r="J97" s="14">
        <f t="shared" si="86"/>
        <v>0.71886291196525531</v>
      </c>
      <c r="K97" s="14">
        <f t="shared" si="87"/>
        <v>1.9480825401868036E-3</v>
      </c>
      <c r="L97" s="16"/>
      <c r="M97" s="25"/>
      <c r="N97" s="14">
        <f>D107</f>
        <v>895.90000000000009</v>
      </c>
      <c r="O97" s="14">
        <f>F107</f>
        <v>67207.009999999995</v>
      </c>
      <c r="P97" s="14">
        <f>I107</f>
        <v>772.05030000000011</v>
      </c>
      <c r="Q97" s="30"/>
    </row>
    <row r="98" spans="1:17" ht="15.75" x14ac:dyDescent="0.25">
      <c r="B98" s="14">
        <f>'Исходные данные'!B5</f>
        <v>0.92300000000000004</v>
      </c>
      <c r="C98" s="40">
        <f>'Исходные данные'!E5</f>
        <v>3543</v>
      </c>
      <c r="D98" s="40">
        <f>'Исходные данные'!F5</f>
        <v>77.2</v>
      </c>
      <c r="E98" s="14">
        <f t="shared" si="81"/>
        <v>12552849</v>
      </c>
      <c r="F98" s="14">
        <f t="shared" si="82"/>
        <v>5959.84</v>
      </c>
      <c r="G98" s="14">
        <f t="shared" si="83"/>
        <v>273519.60000000003</v>
      </c>
      <c r="H98" s="14">
        <f t="shared" si="84"/>
        <v>3270.1890000000003</v>
      </c>
      <c r="I98" s="14">
        <f t="shared" si="85"/>
        <v>71.255600000000001</v>
      </c>
      <c r="J98" s="14">
        <f t="shared" si="86"/>
        <v>0.91174440046305383</v>
      </c>
      <c r="K98" s="14">
        <f t="shared" si="87"/>
        <v>1.2668852093610384E-4</v>
      </c>
      <c r="M98" s="23" t="s">
        <v>23</v>
      </c>
      <c r="N98" s="14">
        <f>COUNT(B95:B106)</f>
        <v>12</v>
      </c>
      <c r="O98" s="14">
        <f>C107</f>
        <v>66149</v>
      </c>
      <c r="P98" s="14">
        <f>B107</f>
        <v>10.252000000000001</v>
      </c>
      <c r="Q98" s="28">
        <f t="shared" ref="Q98" si="88">(N98*O99*P100+O98*N100*P99+N99*O100*P98)-(P98*O99*N100+O98*N99*P100+P99*O100*N98)</f>
        <v>50812600440.423828</v>
      </c>
    </row>
    <row r="99" spans="1:17" ht="15.75" x14ac:dyDescent="0.25">
      <c r="B99" s="14">
        <f>'Исходные данные'!B6</f>
        <v>0.91800000000000004</v>
      </c>
      <c r="C99" s="40">
        <f>'Исходные данные'!E6</f>
        <v>3237</v>
      </c>
      <c r="D99" s="40">
        <f>'Исходные данные'!F6</f>
        <v>77.2</v>
      </c>
      <c r="E99" s="14">
        <f t="shared" si="81"/>
        <v>10478169</v>
      </c>
      <c r="F99" s="14">
        <f t="shared" si="82"/>
        <v>5959.84</v>
      </c>
      <c r="G99" s="14">
        <f t="shared" si="83"/>
        <v>249896.40000000002</v>
      </c>
      <c r="H99" s="14">
        <f t="shared" si="84"/>
        <v>2971.5660000000003</v>
      </c>
      <c r="I99" s="14">
        <f t="shared" si="85"/>
        <v>70.869600000000005</v>
      </c>
      <c r="J99" s="14">
        <f t="shared" si="86"/>
        <v>0.91160313553174976</v>
      </c>
      <c r="K99" s="14">
        <f t="shared" si="87"/>
        <v>4.0919875025162861E-5</v>
      </c>
      <c r="M99" s="24"/>
      <c r="N99" s="14">
        <f>C107</f>
        <v>66149</v>
      </c>
      <c r="O99" s="14">
        <f>E107</f>
        <v>1050647173</v>
      </c>
      <c r="P99" s="14">
        <f>H107</f>
        <v>58987.296999999999</v>
      </c>
      <c r="Q99" s="29"/>
    </row>
    <row r="100" spans="1:17" ht="16.5" thickBot="1" x14ac:dyDescent="0.3">
      <c r="B100" s="14">
        <f>'Исходные данные'!B7</f>
        <v>0.90600000000000003</v>
      </c>
      <c r="C100" s="40">
        <f>'Исходные данные'!E7</f>
        <v>3330</v>
      </c>
      <c r="D100" s="40">
        <f>'Исходные данные'!F7</f>
        <v>77.2</v>
      </c>
      <c r="E100" s="14">
        <f t="shared" si="81"/>
        <v>11088900</v>
      </c>
      <c r="F100" s="14">
        <f t="shared" si="82"/>
        <v>5959.84</v>
      </c>
      <c r="G100" s="14">
        <f t="shared" si="83"/>
        <v>257076</v>
      </c>
      <c r="H100" s="14">
        <f t="shared" si="84"/>
        <v>3016.98</v>
      </c>
      <c r="I100" s="14">
        <f t="shared" si="85"/>
        <v>69.943200000000004</v>
      </c>
      <c r="J100" s="14">
        <f t="shared" si="86"/>
        <v>0.91164606899126377</v>
      </c>
      <c r="K100" s="14">
        <f t="shared" si="87"/>
        <v>3.1878095054109964E-5</v>
      </c>
      <c r="L100" s="16"/>
      <c r="M100" s="25"/>
      <c r="N100" s="14">
        <f>D107</f>
        <v>895.90000000000009</v>
      </c>
      <c r="O100" s="14">
        <f>G107</f>
        <v>5071824.8</v>
      </c>
      <c r="P100" s="14">
        <f>I107</f>
        <v>772.05030000000011</v>
      </c>
      <c r="Q100" s="30"/>
    </row>
    <row r="101" spans="1:17" ht="15.75" x14ac:dyDescent="0.25">
      <c r="B101" s="14">
        <f>'Исходные данные'!B8</f>
        <v>0.90500000000000003</v>
      </c>
      <c r="C101" s="40">
        <f>'Исходные данные'!E8</f>
        <v>3808</v>
      </c>
      <c r="D101" s="40">
        <f>'Исходные данные'!F8</f>
        <v>75.7</v>
      </c>
      <c r="E101" s="14">
        <f t="shared" si="81"/>
        <v>14500864</v>
      </c>
      <c r="F101" s="14">
        <f t="shared" si="82"/>
        <v>5730.4900000000007</v>
      </c>
      <c r="G101" s="14">
        <f t="shared" si="83"/>
        <v>288265.60000000003</v>
      </c>
      <c r="H101" s="14">
        <f t="shared" si="84"/>
        <v>3446.2400000000002</v>
      </c>
      <c r="I101" s="14">
        <f t="shared" si="85"/>
        <v>68.508499999999998</v>
      </c>
      <c r="J101" s="14">
        <f t="shared" si="86"/>
        <v>0.88045193787832954</v>
      </c>
      <c r="K101" s="14">
        <f t="shared" si="87"/>
        <v>6.026073539293934E-4</v>
      </c>
      <c r="M101" s="24" t="s">
        <v>13</v>
      </c>
      <c r="N101" s="14">
        <f>COUNT(B95:B106)</f>
        <v>12</v>
      </c>
      <c r="O101" s="14">
        <f>C107</f>
        <v>66149</v>
      </c>
      <c r="P101" s="14">
        <f>D107</f>
        <v>895.90000000000009</v>
      </c>
      <c r="Q101" s="28">
        <f t="shared" ref="Q101" si="89">(N101*O102*P103+O101*N103*P102+N102*O103*P101)-(P101*O102*N103+O101*N102*P103+P102*O103*N101)</f>
        <v>2426209970964.5</v>
      </c>
    </row>
    <row r="102" spans="1:17" ht="15.75" x14ac:dyDescent="0.25">
      <c r="B102" s="14">
        <f>'Исходные данные'!B9</f>
        <v>0.54500000000000004</v>
      </c>
      <c r="C102" s="40">
        <f>'Исходные данные'!E9</f>
        <v>2415</v>
      </c>
      <c r="D102" s="40">
        <f>'Исходные данные'!F9</f>
        <v>62.6</v>
      </c>
      <c r="E102" s="14">
        <f t="shared" si="81"/>
        <v>5832225</v>
      </c>
      <c r="F102" s="14">
        <f t="shared" si="82"/>
        <v>3918.76</v>
      </c>
      <c r="G102" s="14">
        <f t="shared" si="83"/>
        <v>151179</v>
      </c>
      <c r="H102" s="14">
        <f t="shared" si="84"/>
        <v>1316.1750000000002</v>
      </c>
      <c r="I102" s="14">
        <f t="shared" si="85"/>
        <v>34.117000000000004</v>
      </c>
      <c r="J102" s="14">
        <f t="shared" si="86"/>
        <v>0.60545294049247489</v>
      </c>
      <c r="K102" s="14">
        <f t="shared" si="87"/>
        <v>3.6545580141867052E-3</v>
      </c>
      <c r="M102" s="24"/>
      <c r="N102" s="14">
        <f>C107</f>
        <v>66149</v>
      </c>
      <c r="O102" s="14">
        <f>E107</f>
        <v>1050647173</v>
      </c>
      <c r="P102" s="14">
        <f>G107</f>
        <v>5071824.8</v>
      </c>
      <c r="Q102" s="29"/>
    </row>
    <row r="103" spans="1:17" ht="16.5" thickBot="1" x14ac:dyDescent="0.3">
      <c r="B103" s="14">
        <f>'Исходные данные'!B10</f>
        <v>0.89400000000000002</v>
      </c>
      <c r="C103" s="40">
        <f>'Исходные данные'!E10</f>
        <v>3295</v>
      </c>
      <c r="D103" s="40">
        <f>'Исходные данные'!F10</f>
        <v>78</v>
      </c>
      <c r="E103" s="14">
        <f t="shared" si="81"/>
        <v>10857025</v>
      </c>
      <c r="F103" s="14">
        <f t="shared" si="82"/>
        <v>6084</v>
      </c>
      <c r="G103" s="14">
        <f t="shared" si="83"/>
        <v>257010</v>
      </c>
      <c r="H103" s="14">
        <f t="shared" si="84"/>
        <v>2945.73</v>
      </c>
      <c r="I103" s="14">
        <f t="shared" si="85"/>
        <v>69.731999999999999</v>
      </c>
      <c r="J103" s="14">
        <f t="shared" si="86"/>
        <v>0.9283844711639947</v>
      </c>
      <c r="K103" s="14">
        <f t="shared" si="87"/>
        <v>1.1822918572275815E-3</v>
      </c>
      <c r="M103" s="25"/>
      <c r="N103" s="14">
        <f>D107</f>
        <v>895.90000000000009</v>
      </c>
      <c r="O103" s="14">
        <f>G107</f>
        <v>5071824.8</v>
      </c>
      <c r="P103" s="14">
        <f>F107</f>
        <v>67207.009999999995</v>
      </c>
      <c r="Q103" s="30"/>
    </row>
    <row r="104" spans="1:17" ht="15.75" x14ac:dyDescent="0.25">
      <c r="B104" s="14">
        <f>'Исходные данные'!B11</f>
        <v>0.9</v>
      </c>
      <c r="C104" s="40">
        <f>'Исходные данные'!E11</f>
        <v>3504</v>
      </c>
      <c r="D104" s="40">
        <f>'Исходные данные'!F11</f>
        <v>78.2</v>
      </c>
      <c r="E104" s="14">
        <f t="shared" si="81"/>
        <v>12278016</v>
      </c>
      <c r="F104" s="14">
        <f t="shared" si="82"/>
        <v>6115.2400000000007</v>
      </c>
      <c r="G104" s="14">
        <f t="shared" si="83"/>
        <v>274012.79999999999</v>
      </c>
      <c r="H104" s="14">
        <f t="shared" si="84"/>
        <v>3153.6</v>
      </c>
      <c r="I104" s="14">
        <f t="shared" si="85"/>
        <v>70.38000000000001</v>
      </c>
      <c r="J104" s="14">
        <f t="shared" si="86"/>
        <v>0.93266959601695365</v>
      </c>
      <c r="K104" s="14">
        <f t="shared" si="87"/>
        <v>1.0673025039109525E-3</v>
      </c>
    </row>
    <row r="105" spans="1:17" ht="16.5" thickBot="1" x14ac:dyDescent="0.3">
      <c r="B105" s="14">
        <f>'Исходные данные'!B12</f>
        <v>0.93200000000000005</v>
      </c>
      <c r="C105" s="40">
        <f>'Исходные данные'!E12</f>
        <v>30565</v>
      </c>
      <c r="D105" s="40">
        <f>'Исходные данные'!F12</f>
        <v>79</v>
      </c>
      <c r="E105" s="14">
        <f t="shared" si="81"/>
        <v>934219225</v>
      </c>
      <c r="F105" s="14">
        <f t="shared" si="82"/>
        <v>6241</v>
      </c>
      <c r="G105" s="14">
        <f t="shared" si="83"/>
        <v>2414635</v>
      </c>
      <c r="H105" s="14">
        <f t="shared" si="84"/>
        <v>28486.58</v>
      </c>
      <c r="I105" s="14">
        <f t="shared" si="85"/>
        <v>73.628</v>
      </c>
      <c r="J105" s="14">
        <f t="shared" si="86"/>
        <v>0.96191686936162513</v>
      </c>
      <c r="K105" s="14">
        <f t="shared" si="87"/>
        <v>8.9501907240054112E-4</v>
      </c>
      <c r="M105" s="31" t="s">
        <v>24</v>
      </c>
      <c r="N105" s="31" t="s">
        <v>14</v>
      </c>
      <c r="O105" s="31" t="s">
        <v>25</v>
      </c>
      <c r="P105" s="31" t="s">
        <v>15</v>
      </c>
    </row>
    <row r="106" spans="1:17" ht="16.5" thickBot="1" x14ac:dyDescent="0.3">
      <c r="B106" s="14">
        <f>'Исходные данные'!B13</f>
        <v>0.74</v>
      </c>
      <c r="C106" s="40">
        <f>'Исходные данные'!E13</f>
        <v>3007</v>
      </c>
      <c r="D106" s="40">
        <f>'Исходные данные'!F13</f>
        <v>67.599999999999994</v>
      </c>
      <c r="E106" s="14">
        <f t="shared" si="81"/>
        <v>9042049</v>
      </c>
      <c r="F106" s="14">
        <f t="shared" si="82"/>
        <v>4569.7599999999993</v>
      </c>
      <c r="G106" s="14">
        <f t="shared" si="83"/>
        <v>203273.19999999998</v>
      </c>
      <c r="H106" s="14">
        <f t="shared" si="84"/>
        <v>2225.1799999999998</v>
      </c>
      <c r="I106" s="14">
        <f t="shared" si="85"/>
        <v>50.023999999999994</v>
      </c>
      <c r="J106" s="14">
        <f t="shared" si="86"/>
        <v>0.7104422368924832</v>
      </c>
      <c r="K106" s="14">
        <f t="shared" si="87"/>
        <v>8.7366135992008047E-4</v>
      </c>
      <c r="M106" s="15">
        <f>Q92/Q101</f>
        <v>-0.70670625873845194</v>
      </c>
      <c r="N106" s="15">
        <f>Q95/Q101</f>
        <v>4.6165010230073641E-7</v>
      </c>
      <c r="O106" s="15">
        <f>Q98/Q101</f>
        <v>2.0943199907889305E-2</v>
      </c>
      <c r="P106" s="15">
        <f>K107/COUNT(B95:B106)</f>
        <v>8.7866196418101702E-4</v>
      </c>
    </row>
    <row r="107" spans="1:17" ht="16.5" thickBot="1" x14ac:dyDescent="0.3">
      <c r="A107" s="13" t="s">
        <v>10</v>
      </c>
      <c r="B107" s="15">
        <f>SUM(B95:B106)</f>
        <v>10.252000000000001</v>
      </c>
      <c r="C107" s="41">
        <f t="shared" ref="C107" si="90">SUM(C95:C106)</f>
        <v>66149</v>
      </c>
      <c r="D107" s="41">
        <f t="shared" ref="D107" si="91">SUM(D95:D106)</f>
        <v>895.90000000000009</v>
      </c>
      <c r="E107" s="15">
        <f t="shared" ref="E107" si="92">SUM(E95:E106)</f>
        <v>1050647173</v>
      </c>
      <c r="F107" s="15">
        <f t="shared" ref="F107" si="93">SUM(F95:F106)</f>
        <v>67207.009999999995</v>
      </c>
      <c r="G107" s="15">
        <f t="shared" ref="G107" si="94">SUM(G95:G106)</f>
        <v>5071824.8</v>
      </c>
      <c r="H107" s="15">
        <f t="shared" ref="H107" si="95">SUM(H95:H106)</f>
        <v>58987.296999999999</v>
      </c>
      <c r="I107" s="15">
        <f t="shared" ref="I107" si="96">SUM(I95:I106)</f>
        <v>772.05030000000011</v>
      </c>
      <c r="J107" s="15">
        <f t="shared" ref="J107" si="97">SUM(J95:J106)</f>
        <v>10.313075385233695</v>
      </c>
      <c r="K107" s="15">
        <f t="shared" ref="K107" si="98">SUM(K95:K106)</f>
        <v>1.0543943570172205E-2</v>
      </c>
    </row>
    <row r="108" spans="1:17" x14ac:dyDescent="0.25">
      <c r="C108" s="42"/>
      <c r="D108" s="42"/>
    </row>
  </sheetData>
  <mergeCells count="72">
    <mergeCell ref="M98:M100"/>
    <mergeCell ref="Q98:Q100"/>
    <mergeCell ref="M101:M103"/>
    <mergeCell ref="Q101:Q103"/>
    <mergeCell ref="M92:M94"/>
    <mergeCell ref="Q92:Q94"/>
    <mergeCell ref="E93:I93"/>
    <mergeCell ref="J93:K93"/>
    <mergeCell ref="M95:M97"/>
    <mergeCell ref="Q95:Q97"/>
    <mergeCell ref="M77:M79"/>
    <mergeCell ref="Q77:Q79"/>
    <mergeCell ref="M80:M82"/>
    <mergeCell ref="Q80:Q82"/>
    <mergeCell ref="M83:M85"/>
    <mergeCell ref="Q83:Q85"/>
    <mergeCell ref="M62:M64"/>
    <mergeCell ref="Q62:Q64"/>
    <mergeCell ref="M65:M67"/>
    <mergeCell ref="Q65:Q67"/>
    <mergeCell ref="B74:D75"/>
    <mergeCell ref="E74:K74"/>
    <mergeCell ref="M74:M76"/>
    <mergeCell ref="Q74:Q76"/>
    <mergeCell ref="E75:I75"/>
    <mergeCell ref="J75:K75"/>
    <mergeCell ref="E56:K56"/>
    <mergeCell ref="M56:M58"/>
    <mergeCell ref="Q56:Q58"/>
    <mergeCell ref="E57:I57"/>
    <mergeCell ref="J57:K57"/>
    <mergeCell ref="M59:M61"/>
    <mergeCell ref="Q59:Q61"/>
    <mergeCell ref="M41:M43"/>
    <mergeCell ref="Q41:Q43"/>
    <mergeCell ref="M44:M46"/>
    <mergeCell ref="Q44:Q46"/>
    <mergeCell ref="M47:M49"/>
    <mergeCell ref="Q47:Q49"/>
    <mergeCell ref="M26:M28"/>
    <mergeCell ref="Q26:Q28"/>
    <mergeCell ref="M29:M31"/>
    <mergeCell ref="Q29:Q31"/>
    <mergeCell ref="B38:D39"/>
    <mergeCell ref="E38:K38"/>
    <mergeCell ref="M38:M40"/>
    <mergeCell ref="Q38:Q40"/>
    <mergeCell ref="E39:I39"/>
    <mergeCell ref="J39:K39"/>
    <mergeCell ref="M20:M22"/>
    <mergeCell ref="Q20:Q22"/>
    <mergeCell ref="E21:I21"/>
    <mergeCell ref="J21:K21"/>
    <mergeCell ref="M23:M25"/>
    <mergeCell ref="Q23:Q25"/>
    <mergeCell ref="M2:M4"/>
    <mergeCell ref="M5:M7"/>
    <mergeCell ref="M8:M10"/>
    <mergeCell ref="M11:M13"/>
    <mergeCell ref="Q2:Q4"/>
    <mergeCell ref="Q5:Q7"/>
    <mergeCell ref="Q8:Q10"/>
    <mergeCell ref="Q11:Q13"/>
    <mergeCell ref="B2:D3"/>
    <mergeCell ref="J3:K3"/>
    <mergeCell ref="B92:D93"/>
    <mergeCell ref="E92:K92"/>
    <mergeCell ref="B56:D57"/>
    <mergeCell ref="B20:D21"/>
    <mergeCell ref="E20:K20"/>
    <mergeCell ref="E3:I3"/>
    <mergeCell ref="E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9"/>
  <sheetViews>
    <sheetView tabSelected="1" topLeftCell="A139" workbookViewId="0">
      <selection activeCell="T2" sqref="T2"/>
    </sheetView>
  </sheetViews>
  <sheetFormatPr defaultRowHeight="15" x14ac:dyDescent="0.25"/>
  <cols>
    <col min="1" max="9" width="10.7109375" customWidth="1"/>
    <col min="10" max="10" width="20.7109375" customWidth="1"/>
    <col min="11" max="20" width="10.7109375" customWidth="1"/>
  </cols>
  <sheetData>
    <row r="1" spans="1:20" ht="15.75" thickBot="1" x14ac:dyDescent="0.3">
      <c r="A1">
        <v>1</v>
      </c>
    </row>
    <row r="2" spans="1:20" ht="16.5" thickBot="1" x14ac:dyDescent="0.3">
      <c r="B2" s="5" t="s">
        <v>6</v>
      </c>
      <c r="C2" s="18"/>
      <c r="D2" s="6"/>
      <c r="E2" s="7" t="s">
        <v>7</v>
      </c>
      <c r="F2" s="8"/>
      <c r="G2" s="8"/>
      <c r="H2" s="8"/>
      <c r="I2" s="8"/>
      <c r="J2" s="8"/>
      <c r="K2" s="9"/>
      <c r="M2" s="23" t="s">
        <v>11</v>
      </c>
      <c r="N2" s="14">
        <f>C17</f>
        <v>-5.78371014702177</v>
      </c>
      <c r="O2" s="14">
        <f>D17</f>
        <v>1.6169394089559219</v>
      </c>
      <c r="P2" s="27">
        <f>B17</f>
        <v>10.252000000000001</v>
      </c>
      <c r="Q2" s="28">
        <f>(N2*O3*P4+O2*N4*P3+N3*O4*P2)-(P2*O3*N4+O2*N3*P4+P3*O4*N2)</f>
        <v>1.3646310395003525E-3</v>
      </c>
      <c r="S2" s="1" t="s">
        <v>50</v>
      </c>
      <c r="T2" s="1">
        <f>P124</f>
        <v>9.4401323345967167E-2</v>
      </c>
    </row>
    <row r="3" spans="1:20" ht="16.5" thickBot="1" x14ac:dyDescent="0.3">
      <c r="B3" s="10"/>
      <c r="C3" s="19"/>
      <c r="D3" s="11"/>
      <c r="E3" s="20" t="s">
        <v>8</v>
      </c>
      <c r="F3" s="21"/>
      <c r="G3" s="21"/>
      <c r="H3" s="21"/>
      <c r="I3" s="22"/>
      <c r="J3" s="7" t="s">
        <v>9</v>
      </c>
      <c r="K3" s="9"/>
      <c r="L3" s="16"/>
      <c r="M3" s="24"/>
      <c r="N3" s="14">
        <f>E17</f>
        <v>2.7961380587772133</v>
      </c>
      <c r="O3" s="14">
        <f>G17</f>
        <v>-0.77482033013722651</v>
      </c>
      <c r="P3" s="27">
        <f>H17</f>
        <v>-4.9464403882925243</v>
      </c>
      <c r="Q3" s="29"/>
    </row>
    <row r="4" spans="1:20" ht="21" thickBot="1" x14ac:dyDescent="0.4">
      <c r="B4" s="12" t="s">
        <v>0</v>
      </c>
      <c r="C4" s="12" t="s">
        <v>45</v>
      </c>
      <c r="D4" s="12" t="s">
        <v>46</v>
      </c>
      <c r="E4" s="33" t="s">
        <v>17</v>
      </c>
      <c r="F4" s="33" t="s">
        <v>19</v>
      </c>
      <c r="G4" s="33" t="s">
        <v>18</v>
      </c>
      <c r="H4" s="33" t="s">
        <v>21</v>
      </c>
      <c r="I4" s="33" t="s">
        <v>22</v>
      </c>
      <c r="J4" s="34" t="s">
        <v>26</v>
      </c>
      <c r="K4" s="33" t="s">
        <v>20</v>
      </c>
      <c r="L4" s="16"/>
      <c r="M4" s="25"/>
      <c r="N4" s="14">
        <f>G17</f>
        <v>-0.77482033013722651</v>
      </c>
      <c r="O4" s="14">
        <f>F17</f>
        <v>0.32757587166400731</v>
      </c>
      <c r="P4" s="27">
        <f>I17</f>
        <v>1.498530941545235</v>
      </c>
      <c r="Q4" s="30"/>
    </row>
    <row r="5" spans="1:20" ht="15.75" x14ac:dyDescent="0.25">
      <c r="B5" s="14">
        <f>'Исходные данные'!B2</f>
        <v>0.90400000000000003</v>
      </c>
      <c r="C5" s="14">
        <f>'Исходные данные'!G2</f>
        <v>-0.50184038520617824</v>
      </c>
      <c r="D5" s="14">
        <f>'Исходные данные'!H2</f>
        <v>0.190658376965537</v>
      </c>
      <c r="E5" s="14">
        <f>C5*C5</f>
        <v>0.25184377222388538</v>
      </c>
      <c r="F5" s="14">
        <f>D5*D5</f>
        <v>3.6350616707132813E-2</v>
      </c>
      <c r="G5" s="14">
        <f>C5*D5</f>
        <v>-9.5680073339169835E-2</v>
      </c>
      <c r="H5" s="14">
        <f>B5*C5</f>
        <v>-0.45366370822638513</v>
      </c>
      <c r="I5" s="14">
        <f>B5*D5</f>
        <v>0.17235517277684545</v>
      </c>
      <c r="J5" s="14">
        <f>$M$16+$N$16*C5+$O$16*D5</f>
        <v>-0.26626546179586746</v>
      </c>
      <c r="K5" s="14">
        <f>(B5-J5)*(B5-J5)</f>
        <v>1.3695212510722949</v>
      </c>
      <c r="M5" s="23" t="s">
        <v>12</v>
      </c>
      <c r="N5" s="14">
        <f>COUNT(B5:B16)</f>
        <v>12</v>
      </c>
      <c r="O5" s="14">
        <f>D17</f>
        <v>1.6169394089559219</v>
      </c>
      <c r="P5" s="14">
        <f>B17</f>
        <v>10.252000000000001</v>
      </c>
      <c r="Q5" s="28">
        <f>(N5*O6*P7+O5*N7*P6+N6*O7*P5)-(P5*O6*N7+O5*N6*P7+P6*O7*N5)</f>
        <v>1.3209380216032685E-2</v>
      </c>
    </row>
    <row r="6" spans="1:20" ht="15.75" x14ac:dyDescent="0.25">
      <c r="B6" s="14">
        <f>'Исходные данные'!B3</f>
        <v>0.92200000000000004</v>
      </c>
      <c r="C6" s="14">
        <f>'Исходные данные'!G3</f>
        <v>-0.49662110652010283</v>
      </c>
      <c r="D6" s="14">
        <f>'Исходные данные'!H3</f>
        <v>0.20012848552330764</v>
      </c>
      <c r="E6" s="14">
        <f t="shared" ref="E6:F16" si="0">C6*C6</f>
        <v>0.24663252344125133</v>
      </c>
      <c r="F6" s="14">
        <f t="shared" si="0"/>
        <v>4.0051410717852759E-2</v>
      </c>
      <c r="G6" s="14">
        <f t="shared" ref="G6:G16" si="1">C6*D6</f>
        <v>-9.9388029926777421E-2</v>
      </c>
      <c r="H6" s="14">
        <f t="shared" ref="H6:H16" si="2">B6*C6</f>
        <v>-0.45788466021153484</v>
      </c>
      <c r="I6" s="14">
        <f t="shared" ref="I6:I16" si="3">B6*D6</f>
        <v>0.18451846365248967</v>
      </c>
      <c r="J6" s="14">
        <f t="shared" ref="J6:J16" si="4">$M$16+$N$16*C6+$O$16*D6</f>
        <v>-0.24941046245467643</v>
      </c>
      <c r="K6" s="14">
        <f t="shared" ref="K6:K16" si="5">(B6-J6)*(B6-J6)</f>
        <v>1.3722024715482788</v>
      </c>
      <c r="M6" s="24"/>
      <c r="N6" s="14">
        <f>C17</f>
        <v>-5.78371014702177</v>
      </c>
      <c r="O6" s="14">
        <f>G17</f>
        <v>-0.77482033013722651</v>
      </c>
      <c r="P6" s="14">
        <f>H17</f>
        <v>-4.9464403882925243</v>
      </c>
      <c r="Q6" s="29"/>
    </row>
    <row r="7" spans="1:20" ht="16.5" thickBot="1" x14ac:dyDescent="0.3">
      <c r="B7" s="14">
        <f>'Исходные данные'!B4</f>
        <v>0.76300000000000001</v>
      </c>
      <c r="C7" s="14">
        <f>'Исходные данные'!G4</f>
        <v>-0.53132691066272697</v>
      </c>
      <c r="D7" s="14">
        <f>'Исходные данные'!H4</f>
        <v>2.066879355199891E-3</v>
      </c>
      <c r="E7" s="14">
        <f t="shared" si="0"/>
        <v>0.28230828599439745</v>
      </c>
      <c r="F7" s="14">
        <f t="shared" si="0"/>
        <v>4.2719902689515168E-6</v>
      </c>
      <c r="G7" s="14">
        <f t="shared" si="1"/>
        <v>-1.0981886225109273E-3</v>
      </c>
      <c r="H7" s="14">
        <f t="shared" si="2"/>
        <v>-0.40540243283566069</v>
      </c>
      <c r="I7" s="14">
        <f t="shared" si="3"/>
        <v>1.5770289480175168E-3</v>
      </c>
      <c r="J7" s="14">
        <f t="shared" si="4"/>
        <v>-0.51239234854592119</v>
      </c>
      <c r="K7" s="14">
        <f t="shared" si="5"/>
        <v>1.6266256427294803</v>
      </c>
      <c r="L7" s="16"/>
      <c r="M7" s="25"/>
      <c r="N7" s="14">
        <f>D17</f>
        <v>1.6169394089559219</v>
      </c>
      <c r="O7" s="14">
        <f>F17</f>
        <v>0.32757587166400731</v>
      </c>
      <c r="P7" s="14">
        <f>I17</f>
        <v>1.498530941545235</v>
      </c>
      <c r="Q7" s="30"/>
    </row>
    <row r="8" spans="1:20" ht="15.75" x14ac:dyDescent="0.25">
      <c r="B8" s="14">
        <f>'Исходные данные'!B5</f>
        <v>0.92300000000000004</v>
      </c>
      <c r="C8" s="14">
        <f>'Исходные данные'!G5</f>
        <v>-0.45326744666055685</v>
      </c>
      <c r="D8" s="14">
        <f>'Исходные данные'!H5</f>
        <v>0.18436815902860393</v>
      </c>
      <c r="E8" s="14">
        <f t="shared" si="0"/>
        <v>0.20545137820218076</v>
      </c>
      <c r="F8" s="14">
        <f t="shared" si="0"/>
        <v>3.3991618063596588E-2</v>
      </c>
      <c r="G8" s="14">
        <f t="shared" si="1"/>
        <v>-8.3568084688402794E-2</v>
      </c>
      <c r="H8" s="14">
        <f t="shared" si="2"/>
        <v>-0.41836585326769399</v>
      </c>
      <c r="I8" s="14">
        <f t="shared" si="3"/>
        <v>0.17017181078340143</v>
      </c>
      <c r="J8" s="14">
        <f t="shared" si="4"/>
        <v>-0.21488215841262423</v>
      </c>
      <c r="K8" s="14">
        <f t="shared" si="5"/>
        <v>1.2947758064337724</v>
      </c>
      <c r="M8" s="23" t="s">
        <v>23</v>
      </c>
      <c r="N8" s="14">
        <f>COUNT(B5:B16)</f>
        <v>12</v>
      </c>
      <c r="O8" s="14">
        <f>C17</f>
        <v>-5.78371014702177</v>
      </c>
      <c r="P8" s="14">
        <f>B17</f>
        <v>10.252000000000001</v>
      </c>
      <c r="Q8" s="28">
        <f t="shared" ref="Q8" si="6">(N8*O9*P10+O8*N10*P9+N9*O10*P8)-(P8*O9*N10+O8*N9*P10+P9*O10*N8)</f>
        <v>1.2270678573628402E-2</v>
      </c>
    </row>
    <row r="9" spans="1:20" ht="15.75" x14ac:dyDescent="0.25">
      <c r="B9" s="14">
        <f>'Исходные данные'!B6</f>
        <v>0.91800000000000004</v>
      </c>
      <c r="C9" s="14">
        <f>'Исходные данные'!G6</f>
        <v>-0.49353039081893918</v>
      </c>
      <c r="D9" s="14">
        <f>'Исходные данные'!H6</f>
        <v>0.1533567385970569</v>
      </c>
      <c r="E9" s="14">
        <f t="shared" si="0"/>
        <v>0.24357224666189484</v>
      </c>
      <c r="F9" s="14">
        <f t="shared" si="0"/>
        <v>2.351828927312604E-2</v>
      </c>
      <c r="G9" s="14">
        <f t="shared" si="1"/>
        <v>-7.5686211134523382E-2</v>
      </c>
      <c r="H9" s="14">
        <f t="shared" si="2"/>
        <v>-0.45306089877178618</v>
      </c>
      <c r="I9" s="14">
        <f t="shared" si="3"/>
        <v>0.14078148603209822</v>
      </c>
      <c r="J9" s="14">
        <f t="shared" si="4"/>
        <v>-0.29794085492539268</v>
      </c>
      <c r="K9" s="14">
        <f t="shared" si="5"/>
        <v>1.4785121626766951</v>
      </c>
      <c r="M9" s="24"/>
      <c r="N9" s="14">
        <f>C17</f>
        <v>-5.78371014702177</v>
      </c>
      <c r="O9" s="14">
        <f>E17</f>
        <v>2.7961380587772133</v>
      </c>
      <c r="P9" s="14">
        <f>H17</f>
        <v>-4.9464403882925243</v>
      </c>
      <c r="Q9" s="29"/>
    </row>
    <row r="10" spans="1:20" ht="16.5" thickBot="1" x14ac:dyDescent="0.3">
      <c r="B10" s="14">
        <f>'Исходные данные'!B7</f>
        <v>0.90600000000000003</v>
      </c>
      <c r="C10" s="14">
        <f>'Исходные данные'!G7</f>
        <v>-0.47974447518133229</v>
      </c>
      <c r="D10" s="14">
        <f>'Исходные данные'!H7</f>
        <v>0.19269958541319854</v>
      </c>
      <c r="E10" s="14">
        <f t="shared" si="0"/>
        <v>0.23015476146701194</v>
      </c>
      <c r="F10" s="14">
        <f t="shared" si="0"/>
        <v>3.7133130218418596E-2</v>
      </c>
      <c r="G10" s="14">
        <f t="shared" si="1"/>
        <v>-9.2446561471715247E-2</v>
      </c>
      <c r="H10" s="14">
        <f t="shared" si="2"/>
        <v>-0.43464849451428705</v>
      </c>
      <c r="I10" s="14">
        <f t="shared" si="3"/>
        <v>0.17458582438435788</v>
      </c>
      <c r="J10" s="14">
        <f t="shared" si="4"/>
        <v>-0.23741455043829143</v>
      </c>
      <c r="K10" s="14">
        <f t="shared" si="5"/>
        <v>1.3073968341540003</v>
      </c>
      <c r="L10" s="16"/>
      <c r="M10" s="25"/>
      <c r="N10" s="14">
        <f>D17</f>
        <v>1.6169394089559219</v>
      </c>
      <c r="O10" s="14">
        <f>G17</f>
        <v>-0.77482033013722651</v>
      </c>
      <c r="P10" s="14">
        <f>I17</f>
        <v>1.498530941545235</v>
      </c>
      <c r="Q10" s="30"/>
    </row>
    <row r="11" spans="1:20" ht="15.75" x14ac:dyDescent="0.25">
      <c r="B11" s="14">
        <f>'Исходные данные'!B8</f>
        <v>0.90500000000000003</v>
      </c>
      <c r="C11" s="14">
        <f>'Исходные данные'!G8</f>
        <v>-0.46418924476885393</v>
      </c>
      <c r="D11" s="14">
        <f>'Исходные данные'!H8</f>
        <v>0.16304195439338032</v>
      </c>
      <c r="E11" s="14">
        <f t="shared" si="0"/>
        <v>0.215471654959079</v>
      </c>
      <c r="F11" s="14">
        <f t="shared" si="0"/>
        <v>2.6582678892413107E-2</v>
      </c>
      <c r="G11" s="14">
        <f t="shared" si="1"/>
        <v>-7.5682321675501138E-2</v>
      </c>
      <c r="H11" s="14">
        <f t="shared" si="2"/>
        <v>-0.4200912665158128</v>
      </c>
      <c r="I11" s="14">
        <f t="shared" si="3"/>
        <v>0.1475529687260092</v>
      </c>
      <c r="J11" s="14">
        <f t="shared" si="4"/>
        <v>-0.25183856410837185</v>
      </c>
      <c r="K11" s="14">
        <f t="shared" si="5"/>
        <v>1.3382754634083196</v>
      </c>
      <c r="M11" s="24" t="s">
        <v>13</v>
      </c>
      <c r="N11" s="14">
        <f>COUNT(B5:B16)</f>
        <v>12</v>
      </c>
      <c r="O11" s="14">
        <f>C17</f>
        <v>-5.78371014702177</v>
      </c>
      <c r="P11" s="14">
        <f>D17</f>
        <v>1.6169394089559219</v>
      </c>
      <c r="Q11" s="28">
        <f t="shared" ref="Q11" si="7">(N11*O12*P13+O11*N13*P12+N12*O13*P11)-(P11*O12*N13+O11*N12*P13+P12*O13*N11)</f>
        <v>1.0984758352087454E-2</v>
      </c>
    </row>
    <row r="12" spans="1:20" ht="15.75" x14ac:dyDescent="0.25">
      <c r="B12" s="14">
        <f>'Исходные данные'!B9</f>
        <v>0.54500000000000004</v>
      </c>
      <c r="C12" s="14">
        <f>'Исходные данные'!G9</f>
        <v>-0.43307661956587695</v>
      </c>
      <c r="D12" s="14">
        <f>'Исходные данные'!H9</f>
        <v>-5.2582891710293067E-2</v>
      </c>
      <c r="E12" s="14">
        <f t="shared" si="0"/>
        <v>0.18755535841460733</v>
      </c>
      <c r="F12" s="14">
        <f t="shared" si="0"/>
        <v>2.7649605006164072E-3</v>
      </c>
      <c r="G12" s="14">
        <f t="shared" si="1"/>
        <v>2.2772420988892296E-2</v>
      </c>
      <c r="H12" s="14">
        <f t="shared" si="2"/>
        <v>-0.23602675766340295</v>
      </c>
      <c r="I12" s="14">
        <f t="shared" si="3"/>
        <v>-2.8657675982109724E-2</v>
      </c>
      <c r="J12" s="14">
        <f t="shared" si="4"/>
        <v>-0.45529180464110725</v>
      </c>
      <c r="K12" s="14">
        <f t="shared" si="5"/>
        <v>1.0005836944321633</v>
      </c>
      <c r="M12" s="24"/>
      <c r="N12" s="14">
        <f>C17</f>
        <v>-5.78371014702177</v>
      </c>
      <c r="O12" s="14">
        <f>E17</f>
        <v>2.7961380587772133</v>
      </c>
      <c r="P12" s="14">
        <f>G17</f>
        <v>-0.77482033013722651</v>
      </c>
      <c r="Q12" s="29"/>
    </row>
    <row r="13" spans="1:20" ht="16.5" thickBot="1" x14ac:dyDescent="0.3">
      <c r="B13" s="14">
        <f>'Исходные данные'!B10</f>
        <v>0.89400000000000002</v>
      </c>
      <c r="C13" s="14">
        <f>'Исходные данные'!G10</f>
        <v>-0.48401121240232464</v>
      </c>
      <c r="D13" s="14">
        <f>'Исходные данные'!H10</f>
        <v>0.1976244200542796</v>
      </c>
      <c r="E13" s="14">
        <f t="shared" si="0"/>
        <v>0.23426685373116821</v>
      </c>
      <c r="F13" s="14">
        <f t="shared" si="0"/>
        <v>3.9055411401790349E-2</v>
      </c>
      <c r="G13" s="14">
        <f t="shared" si="1"/>
        <v>-9.5652435150778148E-2</v>
      </c>
      <c r="H13" s="14">
        <f t="shared" si="2"/>
        <v>-0.43270602388767826</v>
      </c>
      <c r="I13" s="14">
        <f t="shared" si="3"/>
        <v>0.17667623152852596</v>
      </c>
      <c r="J13" s="14">
        <f t="shared" si="4"/>
        <v>-0.23704402716007883</v>
      </c>
      <c r="K13" s="14">
        <f t="shared" si="5"/>
        <v>1.279260591374489</v>
      </c>
      <c r="M13" s="25"/>
      <c r="N13" s="14">
        <f>D17</f>
        <v>1.6169394089559219</v>
      </c>
      <c r="O13" s="14">
        <f>G17</f>
        <v>-0.77482033013722651</v>
      </c>
      <c r="P13" s="14">
        <f>F17</f>
        <v>0.32757587166400731</v>
      </c>
      <c r="Q13" s="30"/>
    </row>
    <row r="14" spans="1:20" ht="15.75" x14ac:dyDescent="0.25">
      <c r="B14" s="14">
        <f>'Исходные данные'!B11</f>
        <v>0.9</v>
      </c>
      <c r="C14" s="14">
        <f>'Исходные данные'!G11</f>
        <v>-0.45396983869540819</v>
      </c>
      <c r="D14" s="14">
        <f>'Исходные данные'!H11</f>
        <v>0.20197991360877321</v>
      </c>
      <c r="E14" s="14">
        <f t="shared" si="0"/>
        <v>0.20608861444513493</v>
      </c>
      <c r="F14" s="14">
        <f t="shared" si="0"/>
        <v>4.0795885501407489E-2</v>
      </c>
      <c r="G14" s="14">
        <f t="shared" si="1"/>
        <v>-9.169278880068725E-2</v>
      </c>
      <c r="H14" s="14">
        <f t="shared" si="2"/>
        <v>-0.40857285482586736</v>
      </c>
      <c r="I14" s="14">
        <f t="shared" si="3"/>
        <v>0.18178192224789588</v>
      </c>
      <c r="J14" s="14">
        <f t="shared" si="4"/>
        <v>-0.19605334038200126</v>
      </c>
      <c r="K14" s="14">
        <f t="shared" si="5"/>
        <v>1.2013329249625431</v>
      </c>
    </row>
    <row r="15" spans="1:20" ht="16.5" thickBot="1" x14ac:dyDescent="0.3">
      <c r="B15" s="14">
        <f>'Исходные данные'!B12</f>
        <v>0.93200000000000005</v>
      </c>
      <c r="C15" s="14">
        <f>'Исходные данные'!G12</f>
        <v>-0.47833007986046072</v>
      </c>
      <c r="D15" s="14">
        <f>'Исходные данные'!H12</f>
        <v>0.21523617463444888</v>
      </c>
      <c r="E15" s="14">
        <f t="shared" si="0"/>
        <v>0.22879966529931473</v>
      </c>
      <c r="F15" s="14">
        <f t="shared" si="0"/>
        <v>4.6326610871270976E-2</v>
      </c>
      <c r="G15" s="14">
        <f t="shared" si="1"/>
        <v>-0.102953936601756</v>
      </c>
      <c r="H15" s="14">
        <f t="shared" si="2"/>
        <v>-0.44580363442994941</v>
      </c>
      <c r="I15" s="14">
        <f t="shared" si="3"/>
        <v>0.20060011475930636</v>
      </c>
      <c r="J15" s="14">
        <f t="shared" si="4"/>
        <v>-0.21053889977885482</v>
      </c>
      <c r="K15" s="14">
        <f t="shared" si="5"/>
        <v>1.3053951375078761</v>
      </c>
      <c r="M15" s="31" t="s">
        <v>24</v>
      </c>
      <c r="N15" s="31" t="s">
        <v>14</v>
      </c>
      <c r="O15" s="31" t="s">
        <v>25</v>
      </c>
      <c r="P15" s="31" t="s">
        <v>15</v>
      </c>
    </row>
    <row r="16" spans="1:20" ht="16.5" thickBot="1" x14ac:dyDescent="0.3">
      <c r="B16" s="26">
        <f>'Исходные данные'!B13</f>
        <v>0.74</v>
      </c>
      <c r="C16" s="14">
        <f>'Исходные данные'!G13</f>
        <v>-0.51380243667900927</v>
      </c>
      <c r="D16" s="14">
        <f>'Исходные данные'!H13</f>
        <v>-3.1638386907570926E-2</v>
      </c>
      <c r="E16" s="14">
        <f t="shared" si="0"/>
        <v>0.26399294393728734</v>
      </c>
      <c r="F16" s="14">
        <f t="shared" si="0"/>
        <v>1.0009875261131553E-3</v>
      </c>
      <c r="G16" s="14">
        <f t="shared" si="1"/>
        <v>1.6255880285703208E-2</v>
      </c>
      <c r="H16" s="14">
        <f t="shared" si="2"/>
        <v>-0.38021380314246683</v>
      </c>
      <c r="I16" s="14">
        <f t="shared" si="3"/>
        <v>-2.3412406311602484E-2</v>
      </c>
      <c r="J16" s="14">
        <f t="shared" si="4"/>
        <v>-0.52896977726810301</v>
      </c>
      <c r="K16" s="14">
        <f t="shared" si="5"/>
        <v>1.6102842956198589</v>
      </c>
      <c r="M16" s="15">
        <f>Q2/Q11</f>
        <v>0.12422950016383648</v>
      </c>
      <c r="N16" s="15">
        <f>Q5/Q11</f>
        <v>1.2025189624241923</v>
      </c>
      <c r="O16" s="15">
        <f>Q8/Q11</f>
        <v>1.11706404276946</v>
      </c>
      <c r="P16" s="15">
        <f>K17/COUNT(B5:B16)</f>
        <v>1.3486805229933143</v>
      </c>
    </row>
    <row r="17" spans="1:17" ht="16.5" thickBot="1" x14ac:dyDescent="0.3">
      <c r="A17" s="13" t="s">
        <v>10</v>
      </c>
      <c r="B17" s="15">
        <f>SUM(B5:B16)</f>
        <v>10.252000000000001</v>
      </c>
      <c r="C17" s="15">
        <f t="shared" ref="C17:K17" si="8">SUM(C5:C16)</f>
        <v>-5.78371014702177</v>
      </c>
      <c r="D17" s="15">
        <f t="shared" si="8"/>
        <v>1.6169394089559219</v>
      </c>
      <c r="E17" s="15">
        <f t="shared" si="8"/>
        <v>2.7961380587772133</v>
      </c>
      <c r="F17" s="15">
        <f t="shared" si="8"/>
        <v>0.32757587166400731</v>
      </c>
      <c r="G17" s="15">
        <f t="shared" si="8"/>
        <v>-0.77482033013722651</v>
      </c>
      <c r="H17" s="15">
        <f t="shared" si="8"/>
        <v>-4.9464403882925243</v>
      </c>
      <c r="I17" s="15">
        <f t="shared" si="8"/>
        <v>1.498530941545235</v>
      </c>
      <c r="J17" s="15">
        <f t="shared" si="8"/>
        <v>-3.6580422499112908</v>
      </c>
      <c r="K17" s="15">
        <f t="shared" si="8"/>
        <v>16.184166275919772</v>
      </c>
    </row>
    <row r="19" spans="1:17" ht="15.75" thickBot="1" x14ac:dyDescent="0.3">
      <c r="A19">
        <v>2</v>
      </c>
    </row>
    <row r="20" spans="1:17" ht="16.5" thickBot="1" x14ac:dyDescent="0.3">
      <c r="B20" s="5" t="s">
        <v>6</v>
      </c>
      <c r="C20" s="18"/>
      <c r="D20" s="6"/>
      <c r="E20" s="7" t="s">
        <v>7</v>
      </c>
      <c r="F20" s="8"/>
      <c r="G20" s="8"/>
      <c r="H20" s="8"/>
      <c r="I20" s="8"/>
      <c r="J20" s="8"/>
      <c r="K20" s="9"/>
      <c r="M20" s="23" t="s">
        <v>11</v>
      </c>
      <c r="N20" s="14">
        <f>C35</f>
        <v>-5.78371014702177</v>
      </c>
      <c r="O20" s="14">
        <f>D35</f>
        <v>18.176028653046032</v>
      </c>
      <c r="P20" s="27">
        <f>B35</f>
        <v>10.252000000000001</v>
      </c>
      <c r="Q20" s="28">
        <f>(N20*O21*P22+O20*N22*P21+N21*O22*P20)-(P20*O21*N22+O20*N21*P22+P21*O22*N20)</f>
        <v>5.2984139347245218E-3</v>
      </c>
    </row>
    <row r="21" spans="1:17" ht="16.5" thickBot="1" x14ac:dyDescent="0.3">
      <c r="B21" s="10"/>
      <c r="C21" s="19"/>
      <c r="D21" s="11"/>
      <c r="E21" s="20" t="s">
        <v>8</v>
      </c>
      <c r="F21" s="21"/>
      <c r="G21" s="21"/>
      <c r="H21" s="21"/>
      <c r="I21" s="22"/>
      <c r="J21" s="7" t="s">
        <v>9</v>
      </c>
      <c r="K21" s="9"/>
      <c r="L21" s="16"/>
      <c r="M21" s="24"/>
      <c r="N21" s="14">
        <f>E35</f>
        <v>2.7961380587772133</v>
      </c>
      <c r="O21" s="14">
        <f>G35</f>
        <v>-8.7629919679544077</v>
      </c>
      <c r="P21" s="27">
        <f>H35</f>
        <v>-4.9464403882925243</v>
      </c>
      <c r="Q21" s="29"/>
    </row>
    <row r="22" spans="1:17" ht="21" thickBot="1" x14ac:dyDescent="0.4">
      <c r="B22" s="12" t="s">
        <v>0</v>
      </c>
      <c r="C22" s="12" t="s">
        <v>45</v>
      </c>
      <c r="D22" s="12" t="s">
        <v>47</v>
      </c>
      <c r="E22" s="33" t="s">
        <v>17</v>
      </c>
      <c r="F22" s="33" t="s">
        <v>27</v>
      </c>
      <c r="G22" s="33" t="s">
        <v>28</v>
      </c>
      <c r="H22" s="33" t="s">
        <v>21</v>
      </c>
      <c r="I22" s="33" t="s">
        <v>29</v>
      </c>
      <c r="J22" s="34" t="s">
        <v>30</v>
      </c>
      <c r="K22" s="33" t="s">
        <v>31</v>
      </c>
      <c r="L22" s="16"/>
      <c r="M22" s="25"/>
      <c r="N22" s="14">
        <f>G35</f>
        <v>-8.7629919679544077</v>
      </c>
      <c r="O22" s="14">
        <f>F35</f>
        <v>27.561479598991021</v>
      </c>
      <c r="P22" s="27">
        <f>I35</f>
        <v>15.50441422983833</v>
      </c>
      <c r="Q22" s="30"/>
    </row>
    <row r="23" spans="1:17" ht="15.75" x14ac:dyDescent="0.25">
      <c r="B23" s="14">
        <f>'Исходные данные'!B2</f>
        <v>0.90400000000000003</v>
      </c>
      <c r="C23" s="14">
        <f>'Исходные данные'!G2</f>
        <v>-0.50184038520617824</v>
      </c>
      <c r="D23" s="14">
        <f>'Исходные данные'!I2</f>
        <v>1.5763812353967626</v>
      </c>
      <c r="E23" s="14">
        <f>C23*C23</f>
        <v>0.25184377222388538</v>
      </c>
      <c r="F23" s="14">
        <f>D23*D23</f>
        <v>2.4849777993110234</v>
      </c>
      <c r="G23" s="14">
        <f>C23*D23</f>
        <v>-0.79109176640330248</v>
      </c>
      <c r="H23" s="14">
        <f>B23*C23</f>
        <v>-0.45366370822638513</v>
      </c>
      <c r="I23" s="14">
        <f>B23*D23</f>
        <v>1.4250486367986734</v>
      </c>
      <c r="J23" s="14">
        <f>$M$34+$N$34*C23+$O$34*D23</f>
        <v>-5.452314659501023E-2</v>
      </c>
      <c r="K23" s="14">
        <f>(B23-J23)*(B23-J23)</f>
        <v>0.91876662255839947</v>
      </c>
      <c r="M23" s="23" t="s">
        <v>12</v>
      </c>
      <c r="N23" s="14">
        <f>COUNT(B23:B34)</f>
        <v>12</v>
      </c>
      <c r="O23" s="14">
        <f>D35</f>
        <v>18.176028653046032</v>
      </c>
      <c r="P23" s="14">
        <f>B35</f>
        <v>10.252000000000001</v>
      </c>
      <c r="Q23" s="28">
        <f>(N23*O24*P25+O23*N25*P24+N24*O25*P23)-(P23*O24*N25+O23*N24*P25+P24*O25*N23)</f>
        <v>2.675210424058605E-3</v>
      </c>
    </row>
    <row r="24" spans="1:17" ht="15.75" x14ac:dyDescent="0.25">
      <c r="B24" s="14">
        <f>'Исходные данные'!B3</f>
        <v>0.92200000000000004</v>
      </c>
      <c r="C24" s="14">
        <f>'Исходные данные'!G3</f>
        <v>-0.49662110652010283</v>
      </c>
      <c r="D24" s="14">
        <f>'Исходные данные'!I3</f>
        <v>1.5217824221156726</v>
      </c>
      <c r="E24" s="14">
        <f t="shared" ref="E24:F34" si="9">C24*C24</f>
        <v>0.24663252344125133</v>
      </c>
      <c r="F24" s="14">
        <f t="shared" si="9"/>
        <v>2.315821740260243</v>
      </c>
      <c r="G24" s="14">
        <f t="shared" ref="G24:G34" si="10">C24*D24</f>
        <v>-0.75574927035392758</v>
      </c>
      <c r="H24" s="14">
        <f t="shared" ref="H24:H34" si="11">B24*C24</f>
        <v>-0.45788466021153484</v>
      </c>
      <c r="I24" s="14">
        <f t="shared" ref="I24:I34" si="12">B24*D24</f>
        <v>1.4030833931906501</v>
      </c>
      <c r="J24" s="14">
        <f t="shared" ref="J24:J34" si="13">$M$34+$N$34*C24+$O$34*D24</f>
        <v>-3.5120489029192292E-3</v>
      </c>
      <c r="K24" s="14">
        <f t="shared" ref="K24:K34" si="14">(B24-J24)*(B24-J24)</f>
        <v>0.85657255266447963</v>
      </c>
      <c r="M24" s="24"/>
      <c r="N24" s="14">
        <f>C35</f>
        <v>-5.78371014702177</v>
      </c>
      <c r="O24" s="14">
        <f>G35</f>
        <v>-8.7629919679544077</v>
      </c>
      <c r="P24" s="14">
        <f>H35</f>
        <v>-4.9464403882925243</v>
      </c>
      <c r="Q24" s="29"/>
    </row>
    <row r="25" spans="1:17" ht="16.5" thickBot="1" x14ac:dyDescent="0.3">
      <c r="B25" s="14">
        <f>'Исходные данные'!B4</f>
        <v>0.76300000000000001</v>
      </c>
      <c r="C25" s="14">
        <f>'Исходные данные'!G4</f>
        <v>-0.53132691066272697</v>
      </c>
      <c r="D25" s="14">
        <f>'Исходные данные'!I4</f>
        <v>1.5836155580054945</v>
      </c>
      <c r="E25" s="14">
        <f t="shared" si="9"/>
        <v>0.28230828599439745</v>
      </c>
      <c r="F25" s="14">
        <f t="shared" si="9"/>
        <v>2.5078382355570534</v>
      </c>
      <c r="G25" s="14">
        <f t="shared" si="10"/>
        <v>-0.84141756211248986</v>
      </c>
      <c r="H25" s="14">
        <f t="shared" si="11"/>
        <v>-0.40540243283566069</v>
      </c>
      <c r="I25" s="14">
        <f t="shared" si="12"/>
        <v>1.2082986707581922</v>
      </c>
      <c r="J25" s="14">
        <f t="shared" si="13"/>
        <v>-8.6345846710975005E-2</v>
      </c>
      <c r="K25" s="14">
        <f t="shared" si="14"/>
        <v>0.72138836732518308</v>
      </c>
      <c r="L25" s="16"/>
      <c r="M25" s="25"/>
      <c r="N25" s="14">
        <f>D35</f>
        <v>18.176028653046032</v>
      </c>
      <c r="O25" s="14">
        <f>F35</f>
        <v>27.561479598991021</v>
      </c>
      <c r="P25" s="14">
        <f>I35</f>
        <v>15.50441422983833</v>
      </c>
      <c r="Q25" s="30"/>
    </row>
    <row r="26" spans="1:17" ht="15.75" x14ac:dyDescent="0.25">
      <c r="B26" s="14">
        <f>'Исходные данные'!B5</f>
        <v>0.92300000000000004</v>
      </c>
      <c r="C26" s="14">
        <f>'Исходные данные'!G5</f>
        <v>-0.45326744666055685</v>
      </c>
      <c r="D26" s="14">
        <f>'Исходные данные'!I5</f>
        <v>1.4601167591160387</v>
      </c>
      <c r="E26" s="14">
        <f t="shared" si="9"/>
        <v>0.20545137820218076</v>
      </c>
      <c r="F26" s="14">
        <f t="shared" si="9"/>
        <v>2.1319409502515239</v>
      </c>
      <c r="G26" s="14">
        <f t="shared" si="10"/>
        <v>-0.66182339523081424</v>
      </c>
      <c r="H26" s="14">
        <f t="shared" si="11"/>
        <v>-0.41836585326769399</v>
      </c>
      <c r="I26" s="14">
        <f t="shared" si="12"/>
        <v>1.3476877686641038</v>
      </c>
      <c r="J26" s="14">
        <f t="shared" si="13"/>
        <v>8.6706490579724571E-2</v>
      </c>
      <c r="K26" s="14">
        <f t="shared" si="14"/>
        <v>0.69938683389848033</v>
      </c>
      <c r="M26" s="23" t="s">
        <v>23</v>
      </c>
      <c r="N26" s="14">
        <f>COUNT(B23:B34)</f>
        <v>12</v>
      </c>
      <c r="O26" s="14">
        <f>C35</f>
        <v>-5.78371014702177</v>
      </c>
      <c r="P26" s="14">
        <f>B35</f>
        <v>10.252000000000001</v>
      </c>
      <c r="Q26" s="28">
        <f t="shared" ref="Q26" si="15">(N26*O27*P28+O26*N28*P27+N27*O28*P26)-(P26*O27*N28+O26*N27*P28+P27*O28*N26)</f>
        <v>-2.615776134234693E-3</v>
      </c>
    </row>
    <row r="27" spans="1:17" ht="15.75" x14ac:dyDescent="0.25">
      <c r="B27" s="14">
        <f>'Исходные данные'!B6</f>
        <v>0.91800000000000004</v>
      </c>
      <c r="C27" s="14">
        <f>'Исходные данные'!G6</f>
        <v>-0.49353039081893918</v>
      </c>
      <c r="D27" s="14">
        <f>'Исходные данные'!I6</f>
        <v>1.4292932268482972</v>
      </c>
      <c r="E27" s="14">
        <f t="shared" si="9"/>
        <v>0.24357224666189484</v>
      </c>
      <c r="F27" s="14">
        <f t="shared" si="9"/>
        <v>2.0428791283144179</v>
      </c>
      <c r="G27" s="14">
        <f t="shared" si="10"/>
        <v>-0.7053996448413028</v>
      </c>
      <c r="H27" s="14">
        <f t="shared" si="11"/>
        <v>-0.45306089877178618</v>
      </c>
      <c r="I27" s="14">
        <f t="shared" si="12"/>
        <v>1.3120911822467369</v>
      </c>
      <c r="J27" s="14">
        <f t="shared" si="13"/>
        <v>7.7894167214421328E-2</v>
      </c>
      <c r="K27" s="14">
        <f t="shared" si="14"/>
        <v>0.70577781028035069</v>
      </c>
      <c r="M27" s="24"/>
      <c r="N27" s="14">
        <f>C35</f>
        <v>-5.78371014702177</v>
      </c>
      <c r="O27" s="14">
        <f>E35</f>
        <v>2.7961380587772133</v>
      </c>
      <c r="P27" s="14">
        <f>H35</f>
        <v>-4.9464403882925243</v>
      </c>
      <c r="Q27" s="29"/>
    </row>
    <row r="28" spans="1:17" ht="16.5" thickBot="1" x14ac:dyDescent="0.3">
      <c r="B28" s="14">
        <f>'Исходные данные'!B7</f>
        <v>0.90600000000000003</v>
      </c>
      <c r="C28" s="14">
        <f>'Исходные данные'!G7</f>
        <v>-0.47974447518133229</v>
      </c>
      <c r="D28" s="14">
        <f>'Исходные данные'!I7</f>
        <v>1.5321481115927684</v>
      </c>
      <c r="E28" s="14">
        <f t="shared" si="9"/>
        <v>0.23015476146701194</v>
      </c>
      <c r="F28" s="14">
        <f t="shared" si="9"/>
        <v>2.3474778358572865</v>
      </c>
      <c r="G28" s="14">
        <f t="shared" si="10"/>
        <v>-0.73503959169614197</v>
      </c>
      <c r="H28" s="14">
        <f t="shared" si="11"/>
        <v>-0.43464849451428705</v>
      </c>
      <c r="I28" s="14">
        <f t="shared" si="12"/>
        <v>1.3881261891030483</v>
      </c>
      <c r="J28" s="14">
        <f t="shared" si="13"/>
        <v>2.3556617573996519E-3</v>
      </c>
      <c r="K28" s="14">
        <f t="shared" si="14"/>
        <v>0.81657309003790712</v>
      </c>
      <c r="L28" s="16"/>
      <c r="M28" s="25"/>
      <c r="N28" s="14">
        <f>D35</f>
        <v>18.176028653046032</v>
      </c>
      <c r="O28" s="14">
        <f>G35</f>
        <v>-8.7629919679544077</v>
      </c>
      <c r="P28" s="14">
        <f>I35</f>
        <v>15.50441422983833</v>
      </c>
      <c r="Q28" s="30"/>
    </row>
    <row r="29" spans="1:17" ht="15.75" x14ac:dyDescent="0.25">
      <c r="B29" s="14">
        <f>'Исходные данные'!B8</f>
        <v>0.90500000000000003</v>
      </c>
      <c r="C29" s="14">
        <f>'Исходные данные'!G8</f>
        <v>-0.46418924476885393</v>
      </c>
      <c r="D29" s="14">
        <f>'Исходные данные'!I8</f>
        <v>1.505035214840194</v>
      </c>
      <c r="E29" s="14">
        <f t="shared" si="9"/>
        <v>0.215471654959079</v>
      </c>
      <c r="F29" s="14">
        <f t="shared" si="9"/>
        <v>2.2651309979090688</v>
      </c>
      <c r="G29" s="14">
        <f t="shared" si="10"/>
        <v>-0.6986211597271994</v>
      </c>
      <c r="H29" s="14">
        <f t="shared" si="11"/>
        <v>-0.4200912665158128</v>
      </c>
      <c r="I29" s="14">
        <f t="shared" si="12"/>
        <v>1.3620568694303756</v>
      </c>
      <c r="J29" s="14">
        <f t="shared" si="13"/>
        <v>3.8970589215814089E-2</v>
      </c>
      <c r="K29" s="14">
        <f t="shared" si="14"/>
        <v>0.75000694034320425</v>
      </c>
      <c r="M29" s="24" t="s">
        <v>13</v>
      </c>
      <c r="N29" s="14">
        <f>COUNT(B23:B34)</f>
        <v>12</v>
      </c>
      <c r="O29" s="14">
        <f>C35</f>
        <v>-5.78371014702177</v>
      </c>
      <c r="P29" s="14">
        <f>D35</f>
        <v>18.176028653046032</v>
      </c>
      <c r="Q29" s="28">
        <f t="shared" ref="Q29" si="16">(N29*O30*P31+O29*N31*P30+N30*O31*P29)-(P29*O30*N31+O29*N30*P31+P30*O31*N29)</f>
        <v>3.0734673155166092E-3</v>
      </c>
    </row>
    <row r="30" spans="1:17" ht="15.75" x14ac:dyDescent="0.25">
      <c r="B30" s="14">
        <f>'Исходные данные'!B9</f>
        <v>0.54500000000000004</v>
      </c>
      <c r="C30" s="14">
        <f>'Исходные данные'!G9</f>
        <v>-0.43307661956587695</v>
      </c>
      <c r="D30" s="14">
        <f>'Исходные данные'!I9</f>
        <v>1.573857473405059</v>
      </c>
      <c r="E30" s="14">
        <f t="shared" si="9"/>
        <v>0.18755535841460733</v>
      </c>
      <c r="F30" s="14">
        <f t="shared" si="9"/>
        <v>2.4770273465929558</v>
      </c>
      <c r="G30" s="14">
        <f t="shared" si="10"/>
        <v>-0.681600874260755</v>
      </c>
      <c r="H30" s="14">
        <f t="shared" si="11"/>
        <v>-0.23602675766340295</v>
      </c>
      <c r="I30" s="14">
        <f t="shared" si="12"/>
        <v>0.85775232300575721</v>
      </c>
      <c r="J30" s="14">
        <f t="shared" si="13"/>
        <v>7.4782087025691002E-3</v>
      </c>
      <c r="K30" s="14">
        <f t="shared" si="14"/>
        <v>0.28892967611959891</v>
      </c>
      <c r="M30" s="24"/>
      <c r="N30" s="14">
        <f>C35</f>
        <v>-5.78371014702177</v>
      </c>
      <c r="O30" s="14">
        <f>E35</f>
        <v>2.7961380587772133</v>
      </c>
      <c r="P30" s="14">
        <f>G35</f>
        <v>-8.7629919679544077</v>
      </c>
      <c r="Q30" s="29"/>
    </row>
    <row r="31" spans="1:17" ht="16.5" thickBot="1" x14ac:dyDescent="0.3">
      <c r="B31" s="14">
        <f>'Исходные данные'!B10</f>
        <v>0.89400000000000002</v>
      </c>
      <c r="C31" s="14">
        <f>'Исходные данные'!G10</f>
        <v>-0.48401121240232464</v>
      </c>
      <c r="D31" s="14">
        <f>'Исходные данные'!I10</f>
        <v>1.5052185666234212</v>
      </c>
      <c r="E31" s="14">
        <f t="shared" si="9"/>
        <v>0.23426685373116821</v>
      </c>
      <c r="F31" s="14">
        <f t="shared" si="9"/>
        <v>2.265682933307867</v>
      </c>
      <c r="G31" s="14">
        <f t="shared" si="10"/>
        <v>-0.72854266336189133</v>
      </c>
      <c r="H31" s="14">
        <f t="shared" si="11"/>
        <v>-0.43270602388767826</v>
      </c>
      <c r="I31" s="14">
        <f t="shared" si="12"/>
        <v>1.3456653985613387</v>
      </c>
      <c r="J31" s="14">
        <f t="shared" si="13"/>
        <v>2.1561085172282723E-2</v>
      </c>
      <c r="K31" s="14">
        <f t="shared" si="14"/>
        <v>0.7611496601057649</v>
      </c>
      <c r="M31" s="25"/>
      <c r="N31" s="14">
        <f>D35</f>
        <v>18.176028653046032</v>
      </c>
      <c r="O31" s="14">
        <f>G35</f>
        <v>-8.7629919679544077</v>
      </c>
      <c r="P31" s="14">
        <f>F35</f>
        <v>27.561479598991021</v>
      </c>
      <c r="Q31" s="30"/>
    </row>
    <row r="32" spans="1:17" ht="15.75" x14ac:dyDescent="0.25">
      <c r="B32" s="14">
        <f>'Исходные данные'!B11</f>
        <v>0.9</v>
      </c>
      <c r="C32" s="14">
        <f>'Исходные данные'!G11</f>
        <v>-0.45396983869540819</v>
      </c>
      <c r="D32" s="14">
        <f>'Исходные данные'!I11</f>
        <v>1.4552752205520154</v>
      </c>
      <c r="E32" s="14">
        <f t="shared" si="9"/>
        <v>0.20608861444513493</v>
      </c>
      <c r="F32" s="14">
        <f t="shared" si="9"/>
        <v>2.1178259675527169</v>
      </c>
      <c r="G32" s="14">
        <f t="shared" si="10"/>
        <v>-0.66065105713142303</v>
      </c>
      <c r="H32" s="14">
        <f t="shared" si="11"/>
        <v>-0.40857285482586736</v>
      </c>
      <c r="I32" s="14">
        <f t="shared" si="12"/>
        <v>1.3097476984968139</v>
      </c>
      <c r="J32" s="14">
        <f t="shared" si="13"/>
        <v>9.0215665536909961E-2</v>
      </c>
      <c r="K32" s="14">
        <f t="shared" si="14"/>
        <v>0.65575066834182971</v>
      </c>
    </row>
    <row r="33" spans="1:17" ht="16.5" thickBot="1" x14ac:dyDescent="0.3">
      <c r="B33" s="14">
        <f>'Исходные данные'!B12</f>
        <v>0.93200000000000005</v>
      </c>
      <c r="C33" s="14">
        <f>'Исходные данные'!G12</f>
        <v>-0.47833007986046072</v>
      </c>
      <c r="D33" s="14">
        <f>'Исходные данные'!I12</f>
        <v>1.5635963532052795</v>
      </c>
      <c r="E33" s="14">
        <f t="shared" si="9"/>
        <v>0.22879966529931473</v>
      </c>
      <c r="F33" s="14">
        <f t="shared" si="9"/>
        <v>2.444833555756849</v>
      </c>
      <c r="G33" s="14">
        <f t="shared" si="10"/>
        <v>-0.7479151684982065</v>
      </c>
      <c r="H33" s="14">
        <f t="shared" si="11"/>
        <v>-0.44580363442994941</v>
      </c>
      <c r="I33" s="14">
        <f t="shared" si="12"/>
        <v>1.4572718011873205</v>
      </c>
      <c r="J33" s="14">
        <f t="shared" si="13"/>
        <v>-2.3178286292516725E-2</v>
      </c>
      <c r="K33" s="14">
        <f t="shared" si="14"/>
        <v>0.91236555860470914</v>
      </c>
      <c r="M33" s="31" t="s">
        <v>24</v>
      </c>
      <c r="N33" s="31" t="s">
        <v>14</v>
      </c>
      <c r="O33" s="31" t="s">
        <v>25</v>
      </c>
      <c r="P33" s="31" t="s">
        <v>15</v>
      </c>
    </row>
    <row r="34" spans="1:17" ht="16.5" thickBot="1" x14ac:dyDescent="0.3">
      <c r="B34" s="14">
        <f>'Исходные данные'!B13</f>
        <v>0.74</v>
      </c>
      <c r="C34" s="14">
        <f>'Исходные данные'!G13</f>
        <v>-0.51380243667900927</v>
      </c>
      <c r="D34" s="14">
        <f>'Исходные данные'!I13</f>
        <v>1.4697085113450263</v>
      </c>
      <c r="E34" s="14">
        <f t="shared" si="9"/>
        <v>0.26399294393728734</v>
      </c>
      <c r="F34" s="14">
        <f t="shared" si="9"/>
        <v>2.1600431083200133</v>
      </c>
      <c r="G34" s="14">
        <f t="shared" si="10"/>
        <v>-0.75513981433695387</v>
      </c>
      <c r="H34" s="14">
        <f t="shared" si="11"/>
        <v>-0.38021380314246683</v>
      </c>
      <c r="I34" s="14">
        <f t="shared" si="12"/>
        <v>1.0875842983953194</v>
      </c>
      <c r="J34" s="14">
        <f t="shared" si="13"/>
        <v>2.5852187057616716E-2</v>
      </c>
      <c r="K34" s="14">
        <f t="shared" si="14"/>
        <v>0.5100070987303893</v>
      </c>
      <c r="M34" s="15">
        <f>Q20/Q29</f>
        <v>1.7239207028410934</v>
      </c>
      <c r="N34" s="15">
        <f>Q23/Q29</f>
        <v>0.87042097716563405</v>
      </c>
      <c r="O34" s="15">
        <f>Q26/Q29</f>
        <v>-0.8510831141846763</v>
      </c>
      <c r="P34" s="15">
        <f>K35/COUNT(B23:B34)</f>
        <v>0.71638957325085795</v>
      </c>
    </row>
    <row r="35" spans="1:17" ht="16.5" thickBot="1" x14ac:dyDescent="0.3">
      <c r="A35" s="13" t="s">
        <v>10</v>
      </c>
      <c r="B35" s="15">
        <f>SUM(B23:B34)</f>
        <v>10.252000000000001</v>
      </c>
      <c r="C35" s="15">
        <f t="shared" ref="C35:K35" si="17">SUM(C23:C34)</f>
        <v>-5.78371014702177</v>
      </c>
      <c r="D35" s="15">
        <f t="shared" si="17"/>
        <v>18.176028653046032</v>
      </c>
      <c r="E35" s="15">
        <f t="shared" si="17"/>
        <v>2.7961380587772133</v>
      </c>
      <c r="F35" s="15">
        <f t="shared" si="17"/>
        <v>27.561479598991021</v>
      </c>
      <c r="G35" s="15">
        <f t="shared" si="17"/>
        <v>-8.7629919679544077</v>
      </c>
      <c r="H35" s="15">
        <f t="shared" si="17"/>
        <v>-4.9464403882925243</v>
      </c>
      <c r="I35" s="15">
        <f t="shared" si="17"/>
        <v>15.50441422983833</v>
      </c>
      <c r="J35" s="15">
        <f t="shared" si="17"/>
        <v>0.18347472673531695</v>
      </c>
      <c r="K35" s="15">
        <f t="shared" si="17"/>
        <v>8.5966748790102958</v>
      </c>
    </row>
    <row r="37" spans="1:17" ht="15.75" thickBot="1" x14ac:dyDescent="0.3">
      <c r="A37">
        <v>3</v>
      </c>
    </row>
    <row r="38" spans="1:17" ht="16.5" thickBot="1" x14ac:dyDescent="0.3">
      <c r="B38" s="5" t="s">
        <v>6</v>
      </c>
      <c r="C38" s="18"/>
      <c r="D38" s="6"/>
      <c r="E38" s="7" t="s">
        <v>7</v>
      </c>
      <c r="F38" s="8"/>
      <c r="G38" s="8"/>
      <c r="H38" s="8"/>
      <c r="I38" s="8"/>
      <c r="J38" s="8"/>
      <c r="K38" s="9"/>
      <c r="M38" s="23" t="s">
        <v>11</v>
      </c>
      <c r="N38" s="14">
        <f>C53</f>
        <v>-5.78371014702177</v>
      </c>
      <c r="O38" s="14">
        <f>D53</f>
        <v>10.829610762024778</v>
      </c>
      <c r="P38" s="27">
        <f>B53</f>
        <v>10.252000000000001</v>
      </c>
      <c r="Q38" s="28">
        <f>(N38*O39*P40+O38*N40*P39+N39*O40*P38)-(P38*O39*N40+O38*N39*P40+P39*O40*N38)</f>
        <v>-5.4494913460985117E-3</v>
      </c>
    </row>
    <row r="39" spans="1:17" ht="16.5" thickBot="1" x14ac:dyDescent="0.3">
      <c r="B39" s="10"/>
      <c r="C39" s="19"/>
      <c r="D39" s="11"/>
      <c r="E39" s="20" t="s">
        <v>8</v>
      </c>
      <c r="F39" s="21"/>
      <c r="G39" s="21"/>
      <c r="H39" s="21"/>
      <c r="I39" s="22"/>
      <c r="J39" s="7" t="s">
        <v>9</v>
      </c>
      <c r="K39" s="9"/>
      <c r="L39" s="16"/>
      <c r="M39" s="24"/>
      <c r="N39" s="14">
        <f>E53</f>
        <v>2.7961380587772133</v>
      </c>
      <c r="O39" s="14">
        <f>G53</f>
        <v>-5.218976989120482</v>
      </c>
      <c r="P39" s="27">
        <f>H53</f>
        <v>-4.9464403882925243</v>
      </c>
      <c r="Q39" s="29"/>
    </row>
    <row r="40" spans="1:17" ht="21" thickBot="1" x14ac:dyDescent="0.4">
      <c r="B40" s="12" t="s">
        <v>0</v>
      </c>
      <c r="C40" s="12" t="s">
        <v>45</v>
      </c>
      <c r="D40" s="12" t="s">
        <v>48</v>
      </c>
      <c r="E40" s="33" t="s">
        <v>17</v>
      </c>
      <c r="F40" s="33" t="s">
        <v>32</v>
      </c>
      <c r="G40" s="33" t="s">
        <v>33</v>
      </c>
      <c r="H40" s="33" t="s">
        <v>21</v>
      </c>
      <c r="I40" s="33" t="s">
        <v>34</v>
      </c>
      <c r="J40" s="34" t="s">
        <v>35</v>
      </c>
      <c r="K40" s="33" t="s">
        <v>36</v>
      </c>
      <c r="L40" s="16"/>
      <c r="M40" s="25"/>
      <c r="N40" s="14">
        <f>G53</f>
        <v>-5.218976989120482</v>
      </c>
      <c r="O40" s="14">
        <f>F53</f>
        <v>9.9032200200629052</v>
      </c>
      <c r="P40" s="27">
        <f>I53</f>
        <v>9.385803519716875</v>
      </c>
      <c r="Q40" s="30"/>
    </row>
    <row r="41" spans="1:17" ht="15.75" x14ac:dyDescent="0.25">
      <c r="B41" s="14">
        <f>'Исходные данные'!B2</f>
        <v>0.90400000000000003</v>
      </c>
      <c r="C41" s="14">
        <f>'Исходные данные'!G2</f>
        <v>-0.50184038520617824</v>
      </c>
      <c r="D41" s="14">
        <f>'Исходные данные'!J2</f>
        <v>0.95524397920655613</v>
      </c>
      <c r="E41" s="14">
        <f>C41*C41</f>
        <v>0.25184377222388538</v>
      </c>
      <c r="F41" s="14">
        <f>D41*D41</f>
        <v>0.91249105981037548</v>
      </c>
      <c r="G41" s="14">
        <f>C41*D41</f>
        <v>-0.47938000649090062</v>
      </c>
      <c r="H41" s="14">
        <f>B41*C41</f>
        <v>-0.45366370822638513</v>
      </c>
      <c r="I41" s="14">
        <f>B41*D41</f>
        <v>0.86354055720272671</v>
      </c>
      <c r="J41" s="14">
        <f>$M$52+$N$52*C41+$O$52*D41</f>
        <v>0.23077594817000169</v>
      </c>
      <c r="K41" s="14">
        <f>(B41-J41)*(B41-J41)</f>
        <v>0.45323062396240027</v>
      </c>
      <c r="M41" s="23" t="s">
        <v>12</v>
      </c>
      <c r="N41" s="14">
        <f>COUNT(B41:B52)</f>
        <v>12</v>
      </c>
      <c r="O41" s="14">
        <f>D53</f>
        <v>10.829610762024778</v>
      </c>
      <c r="P41" s="14">
        <f>B53</f>
        <v>10.252000000000001</v>
      </c>
      <c r="Q41" s="28">
        <f>(N41*O42*P43+O41*N43*P42+N42*O43*P41)-(P41*O42*N43+O41*N42*P43+P42*O43*N41)</f>
        <v>9.1568546667986084E-3</v>
      </c>
    </row>
    <row r="42" spans="1:17" ht="15.75" x14ac:dyDescent="0.25">
      <c r="B42" s="14">
        <f>'Исходные данные'!B3</f>
        <v>0.92200000000000004</v>
      </c>
      <c r="C42" s="14">
        <f>'Исходные данные'!G3</f>
        <v>-0.49662110652010283</v>
      </c>
      <c r="D42" s="14">
        <f>'Исходные данные'!J3</f>
        <v>0.97585181050301584</v>
      </c>
      <c r="E42" s="14">
        <f t="shared" ref="E42:F52" si="18">C42*C42</f>
        <v>0.24663252344125133</v>
      </c>
      <c r="F42" s="14">
        <f t="shared" si="18"/>
        <v>0.95228675606201396</v>
      </c>
      <c r="G42" s="14">
        <f t="shared" ref="G42:G52" si="19">C42*D42</f>
        <v>-0.48462860593165341</v>
      </c>
      <c r="H42" s="14">
        <f t="shared" ref="H42:H52" si="20">B42*C42</f>
        <v>-0.45788466021153484</v>
      </c>
      <c r="I42" s="14">
        <f t="shared" ref="I42:I52" si="21">B42*D42</f>
        <v>0.89973536928378062</v>
      </c>
      <c r="J42" s="14">
        <f t="shared" ref="J42:J52" si="22">$M$52+$N$52*C42+$O$52*D42</f>
        <v>0.25566278560051348</v>
      </c>
      <c r="K42" s="14">
        <f t="shared" ref="K42:K52" si="23">(B42-J42)*(B42-J42)</f>
        <v>0.44400528329366734</v>
      </c>
      <c r="M42" s="24"/>
      <c r="N42" s="14">
        <f>C53</f>
        <v>-5.78371014702177</v>
      </c>
      <c r="O42" s="14">
        <f>G53</f>
        <v>-5.218976989120482</v>
      </c>
      <c r="P42" s="14">
        <f>H53</f>
        <v>-4.9464403882925243</v>
      </c>
      <c r="Q42" s="29"/>
    </row>
    <row r="43" spans="1:17" ht="16.5" thickBot="1" x14ac:dyDescent="0.3">
      <c r="B43" s="14">
        <f>'Исходные данные'!B4</f>
        <v>0.76300000000000001</v>
      </c>
      <c r="C43" s="14">
        <f>'Исходные данные'!G4</f>
        <v>-0.53132691066272697</v>
      </c>
      <c r="D43" s="14">
        <f>'Исходные данные'!J4</f>
        <v>0.7719197682850808</v>
      </c>
      <c r="E43" s="14">
        <f t="shared" si="18"/>
        <v>0.28230828599439745</v>
      </c>
      <c r="F43" s="14">
        <f t="shared" si="18"/>
        <v>0.59586012866929283</v>
      </c>
      <c r="G43" s="14">
        <f t="shared" si="19"/>
        <v>-0.41014174576240003</v>
      </c>
      <c r="H43" s="14">
        <f t="shared" si="20"/>
        <v>-0.40540243283566069</v>
      </c>
      <c r="I43" s="14">
        <f t="shared" si="21"/>
        <v>0.58897478320151664</v>
      </c>
      <c r="J43" s="14">
        <f t="shared" si="22"/>
        <v>2.1064303776785587E-2</v>
      </c>
      <c r="K43" s="14">
        <f t="shared" si="23"/>
        <v>0.55046857733022592</v>
      </c>
      <c r="L43" s="16"/>
      <c r="M43" s="25"/>
      <c r="N43" s="14">
        <f>D53</f>
        <v>10.829610762024778</v>
      </c>
      <c r="O43" s="14">
        <f>F53</f>
        <v>9.9032200200629052</v>
      </c>
      <c r="P43" s="14">
        <f>I53</f>
        <v>9.385803519716875</v>
      </c>
      <c r="Q43" s="30"/>
    </row>
    <row r="44" spans="1:17" ht="15.75" x14ac:dyDescent="0.25">
      <c r="B44" s="14">
        <f>'Исходные данные'!B5</f>
        <v>0.92300000000000004</v>
      </c>
      <c r="C44" s="14">
        <f>'Исходные данные'!G5</f>
        <v>-0.45326744666055685</v>
      </c>
      <c r="D44" s="14">
        <f>'Исходные данные'!J5</f>
        <v>0.95081605426183846</v>
      </c>
      <c r="E44" s="14">
        <f t="shared" si="18"/>
        <v>0.20545137820218076</v>
      </c>
      <c r="F44" s="14">
        <f t="shared" si="18"/>
        <v>0.90405116904205129</v>
      </c>
      <c r="G44" s="14">
        <f t="shared" si="19"/>
        <v>-0.430973965159129</v>
      </c>
      <c r="H44" s="14">
        <f t="shared" si="20"/>
        <v>-0.41836585326769399</v>
      </c>
      <c r="I44" s="14">
        <f t="shared" si="21"/>
        <v>0.87760321808367692</v>
      </c>
      <c r="J44" s="14">
        <f t="shared" si="22"/>
        <v>0.25967967107757661</v>
      </c>
      <c r="K44" s="14">
        <f t="shared" si="23"/>
        <v>0.43999385876175201</v>
      </c>
      <c r="M44" s="23" t="s">
        <v>23</v>
      </c>
      <c r="N44" s="14">
        <f>COUNT(B41:B52)</f>
        <v>12</v>
      </c>
      <c r="O44" s="14">
        <f>C53</f>
        <v>-5.78371014702177</v>
      </c>
      <c r="P44" s="14">
        <f>B53</f>
        <v>10.252000000000001</v>
      </c>
      <c r="Q44" s="28">
        <f t="shared" ref="Q44" si="24">(N44*O45*P46+O44*N46*P45+N45*O46*P44)-(P44*O45*N46+O44*N45*P46+P45*O46*N44)</f>
        <v>1.3725034631306698E-2</v>
      </c>
    </row>
    <row r="45" spans="1:17" ht="15.75" x14ac:dyDescent="0.25">
      <c r="B45" s="14">
        <f>'Исходные данные'!B6</f>
        <v>0.91800000000000004</v>
      </c>
      <c r="C45" s="14">
        <f>'Исходные данные'!G6</f>
        <v>-0.49353039081893918</v>
      </c>
      <c r="D45" s="14">
        <f>'Исходные данные'!J6</f>
        <v>0.94862987807078825</v>
      </c>
      <c r="E45" s="14">
        <f t="shared" si="18"/>
        <v>0.24357224666189484</v>
      </c>
      <c r="F45" s="14">
        <f t="shared" si="18"/>
        <v>0.89989864556859855</v>
      </c>
      <c r="G45" s="14">
        <f t="shared" si="19"/>
        <v>-0.46817767446679875</v>
      </c>
      <c r="H45" s="14">
        <f t="shared" si="20"/>
        <v>-0.45306089877178618</v>
      </c>
      <c r="I45" s="14">
        <f t="shared" si="21"/>
        <v>0.87084222806898359</v>
      </c>
      <c r="J45" s="14">
        <f t="shared" si="22"/>
        <v>0.22967058527827611</v>
      </c>
      <c r="K45" s="14">
        <f t="shared" si="23"/>
        <v>0.473797383171151</v>
      </c>
      <c r="M45" s="24"/>
      <c r="N45" s="14">
        <f>C53</f>
        <v>-5.78371014702177</v>
      </c>
      <c r="O45" s="14">
        <f>E53</f>
        <v>2.7961380587772133</v>
      </c>
      <c r="P45" s="14">
        <f>H53</f>
        <v>-4.9464403882925243</v>
      </c>
      <c r="Q45" s="29"/>
    </row>
    <row r="46" spans="1:17" ht="16.5" thickBot="1" x14ac:dyDescent="0.3">
      <c r="B46" s="14">
        <f>'Исходные данные'!B7</f>
        <v>0.90600000000000003</v>
      </c>
      <c r="C46" s="14">
        <f>'Исходные данные'!G7</f>
        <v>-0.47974447518133229</v>
      </c>
      <c r="D46" s="14">
        <f>'Исходные данные'!J7</f>
        <v>0.9561089018822756</v>
      </c>
      <c r="E46" s="14">
        <f t="shared" si="18"/>
        <v>0.23015476146701194</v>
      </c>
      <c r="F46" s="14">
        <f t="shared" si="18"/>
        <v>0.91414423225853092</v>
      </c>
      <c r="G46" s="14">
        <f t="shared" si="19"/>
        <v>-0.45868796334971224</v>
      </c>
      <c r="H46" s="14">
        <f t="shared" si="20"/>
        <v>-0.43464849451428705</v>
      </c>
      <c r="I46" s="14">
        <f t="shared" si="21"/>
        <v>0.86623466510534175</v>
      </c>
      <c r="J46" s="14">
        <f t="shared" si="22"/>
        <v>0.24689873549037566</v>
      </c>
      <c r="K46" s="14">
        <f t="shared" si="23"/>
        <v>0.4344144768781858</v>
      </c>
      <c r="L46" s="16"/>
      <c r="M46" s="25"/>
      <c r="N46" s="14">
        <f>D53</f>
        <v>10.829610762024778</v>
      </c>
      <c r="O46" s="14">
        <f>G53</f>
        <v>-5.218976989120482</v>
      </c>
      <c r="P46" s="14">
        <f>I53</f>
        <v>9.385803519716875</v>
      </c>
      <c r="Q46" s="30"/>
    </row>
    <row r="47" spans="1:17" ht="15.75" x14ac:dyDescent="0.25">
      <c r="B47" s="14">
        <f>'Исходные данные'!B8</f>
        <v>0.90500000000000003</v>
      </c>
      <c r="C47" s="14">
        <f>'Исходные данные'!G8</f>
        <v>-0.46418924476885393</v>
      </c>
      <c r="D47" s="14">
        <f>'Исходные данные'!J8</f>
        <v>0.92338786752177815</v>
      </c>
      <c r="E47" s="14">
        <f t="shared" si="18"/>
        <v>0.215471654959079</v>
      </c>
      <c r="F47" s="14">
        <f t="shared" si="18"/>
        <v>0.85264515388641693</v>
      </c>
      <c r="G47" s="14">
        <f t="shared" si="19"/>
        <v>-0.42862671685365672</v>
      </c>
      <c r="H47" s="14">
        <f t="shared" si="20"/>
        <v>-0.4200912665158128</v>
      </c>
      <c r="I47" s="14">
        <f t="shared" si="21"/>
        <v>0.83566602010720925</v>
      </c>
      <c r="J47" s="14">
        <f t="shared" si="22"/>
        <v>0.22381649217141752</v>
      </c>
      <c r="K47" s="14">
        <f t="shared" si="23"/>
        <v>0.46401097133765251</v>
      </c>
      <c r="M47" s="24" t="s">
        <v>13</v>
      </c>
      <c r="N47" s="14">
        <f>COUNT(B41:B52)</f>
        <v>12</v>
      </c>
      <c r="O47" s="14">
        <f>C53</f>
        <v>-5.78371014702177</v>
      </c>
      <c r="P47" s="14">
        <f>D53</f>
        <v>10.829610762024778</v>
      </c>
      <c r="Q47" s="28">
        <f t="shared" ref="Q47" si="25">(N47*O48*P49+O47*N49*P48+N48*O49*P47)-(P47*O48*N49+O47*N48*P49+P48*O49*N47)</f>
        <v>1.3285552072943574E-2</v>
      </c>
    </row>
    <row r="48" spans="1:17" ht="15.75" x14ac:dyDescent="0.25">
      <c r="B48" s="14">
        <f>'Исходные данные'!B9</f>
        <v>0.54500000000000004</v>
      </c>
      <c r="C48" s="14">
        <f>'Исходные данные'!G9</f>
        <v>-0.43307661956587695</v>
      </c>
      <c r="D48" s="14">
        <f>'Исходные данные'!J9</f>
        <v>0.66100474649385865</v>
      </c>
      <c r="E48" s="14">
        <f t="shared" si="18"/>
        <v>0.18755535841460733</v>
      </c>
      <c r="F48" s="14">
        <f t="shared" si="18"/>
        <v>0.43692727488741034</v>
      </c>
      <c r="G48" s="14">
        <f t="shared" si="19"/>
        <v>-0.28626570112855976</v>
      </c>
      <c r="H48" s="14">
        <f t="shared" si="20"/>
        <v>-0.23602675766340295</v>
      </c>
      <c r="I48" s="14">
        <f t="shared" si="21"/>
        <v>0.36024758683915298</v>
      </c>
      <c r="J48" s="14">
        <f t="shared" si="22"/>
        <v>-2.5802313075380612E-2</v>
      </c>
      <c r="K48" s="14">
        <f t="shared" si="23"/>
        <v>0.32581528061220488</v>
      </c>
      <c r="M48" s="24"/>
      <c r="N48" s="14">
        <f>C53</f>
        <v>-5.78371014702177</v>
      </c>
      <c r="O48" s="14">
        <f>E53</f>
        <v>2.7961380587772133</v>
      </c>
      <c r="P48" s="14">
        <f>G53</f>
        <v>-5.218976989120482</v>
      </c>
      <c r="Q48" s="29"/>
    </row>
    <row r="49" spans="1:17" ht="16.5" thickBot="1" x14ac:dyDescent="0.3">
      <c r="B49" s="14">
        <f>'Исходные данные'!B10</f>
        <v>0.89400000000000002</v>
      </c>
      <c r="C49" s="14">
        <f>'Исходные данные'!G10</f>
        <v>-0.48401121240232464</v>
      </c>
      <c r="D49" s="14">
        <f>'Исходные данные'!J10</f>
        <v>0.97049947354040389</v>
      </c>
      <c r="E49" s="14">
        <f t="shared" si="18"/>
        <v>0.23426685373116821</v>
      </c>
      <c r="F49" s="14">
        <f t="shared" si="18"/>
        <v>0.94186922814220109</v>
      </c>
      <c r="G49" s="14">
        <f t="shared" si="19"/>
        <v>-0.46973262682410866</v>
      </c>
      <c r="H49" s="14">
        <f t="shared" si="20"/>
        <v>-0.43270602388767826</v>
      </c>
      <c r="I49" s="14">
        <f t="shared" si="21"/>
        <v>0.86762652934512108</v>
      </c>
      <c r="J49" s="14">
        <f>$M$52+$N$52*C49+$O$52*D49</f>
        <v>0.25882456295077427</v>
      </c>
      <c r="K49" s="14">
        <f t="shared" si="23"/>
        <v>0.40344783583067495</v>
      </c>
      <c r="M49" s="25"/>
      <c r="N49" s="14">
        <f>D53</f>
        <v>10.829610762024778</v>
      </c>
      <c r="O49" s="14">
        <f>G53</f>
        <v>-5.218976989120482</v>
      </c>
      <c r="P49" s="14">
        <f>F53</f>
        <v>9.9032200200629052</v>
      </c>
      <c r="Q49" s="30"/>
    </row>
    <row r="50" spans="1:17" ht="15.75" x14ac:dyDescent="0.25">
      <c r="B50" s="14">
        <f>'Исходные данные'!B11</f>
        <v>0.9</v>
      </c>
      <c r="C50" s="14">
        <f>'Исходные данные'!G11</f>
        <v>-0.45396983869540819</v>
      </c>
      <c r="D50" s="14">
        <f>'Исходные данные'!J11</f>
        <v>0.97090414859695495</v>
      </c>
      <c r="E50" s="14">
        <f t="shared" si="18"/>
        <v>0.20608861444513493</v>
      </c>
      <c r="F50" s="14">
        <f t="shared" si="18"/>
        <v>0.94265486576277802</v>
      </c>
      <c r="G50" s="14">
        <f t="shared" si="19"/>
        <v>-0.44076119972726224</v>
      </c>
      <c r="H50" s="14">
        <f t="shared" si="20"/>
        <v>-0.40857285482586736</v>
      </c>
      <c r="I50" s="14">
        <f t="shared" si="21"/>
        <v>0.87381373373725946</v>
      </c>
      <c r="J50" s="14">
        <f t="shared" si="22"/>
        <v>0.27994816177828086</v>
      </c>
      <c r="K50" s="14">
        <f t="shared" si="23"/>
        <v>0.38446428208213301</v>
      </c>
    </row>
    <row r="51" spans="1:17" ht="16.5" thickBot="1" x14ac:dyDescent="0.3">
      <c r="B51" s="14">
        <f>'Исходные данные'!B12</f>
        <v>0.93200000000000005</v>
      </c>
      <c r="C51" s="14">
        <f>'Исходные данные'!G12</f>
        <v>-0.47833007986046072</v>
      </c>
      <c r="D51" s="14">
        <f>'Исходные данные'!J12</f>
        <v>0.98978213454197561</v>
      </c>
      <c r="E51" s="14">
        <f t="shared" si="18"/>
        <v>0.22879966529931473</v>
      </c>
      <c r="F51" s="14">
        <f t="shared" si="18"/>
        <v>0.97966867385846956</v>
      </c>
      <c r="G51" s="14">
        <f t="shared" si="19"/>
        <v>-0.47344256745992047</v>
      </c>
      <c r="H51" s="14">
        <f t="shared" si="20"/>
        <v>-0.44580363442994941</v>
      </c>
      <c r="I51" s="14">
        <f t="shared" si="21"/>
        <v>0.9224769493931213</v>
      </c>
      <c r="J51" s="14">
        <f t="shared" si="22"/>
        <v>0.28266071919932867</v>
      </c>
      <c r="K51" s="14">
        <f t="shared" si="23"/>
        <v>0.42164150159073316</v>
      </c>
      <c r="M51" s="31" t="s">
        <v>24</v>
      </c>
      <c r="N51" s="31" t="s">
        <v>14</v>
      </c>
      <c r="O51" s="31" t="s">
        <v>25</v>
      </c>
      <c r="P51" s="31" t="s">
        <v>15</v>
      </c>
    </row>
    <row r="52" spans="1:17" ht="16.5" thickBot="1" x14ac:dyDescent="0.3">
      <c r="B52" s="14">
        <f>'Исходные данные'!B13</f>
        <v>0.74</v>
      </c>
      <c r="C52" s="14">
        <f>'Исходные данные'!G13</f>
        <v>-0.51380243667900927</v>
      </c>
      <c r="D52" s="14">
        <f>'Исходные данные'!J13</f>
        <v>0.75546199912025136</v>
      </c>
      <c r="E52" s="14">
        <f t="shared" si="18"/>
        <v>0.26399294393728734</v>
      </c>
      <c r="F52" s="14">
        <f t="shared" si="18"/>
        <v>0.57072283211476671</v>
      </c>
      <c r="G52" s="14">
        <f t="shared" si="19"/>
        <v>-0.38815821596638073</v>
      </c>
      <c r="H52" s="14">
        <f t="shared" si="20"/>
        <v>-0.38021380314246683</v>
      </c>
      <c r="I52" s="14">
        <f t="shared" si="21"/>
        <v>0.55904187934898597</v>
      </c>
      <c r="J52" s="14">
        <f t="shared" si="22"/>
        <v>1.6140579869703298E-2</v>
      </c>
      <c r="K52" s="14">
        <f t="shared" si="23"/>
        <v>0.52397246011136933</v>
      </c>
      <c r="M52" s="15">
        <f>Q38/Q47</f>
        <v>-0.41018177612630524</v>
      </c>
      <c r="N52" s="15">
        <f>Q41/Q47</f>
        <v>0.68923403532825844</v>
      </c>
      <c r="O52" s="15">
        <f>Q44/Q47</f>
        <v>1.0330797362390491</v>
      </c>
      <c r="P52" s="15">
        <f>K53/COUNT(B41:B52)</f>
        <v>0.44327187791351252</v>
      </c>
    </row>
    <row r="53" spans="1:17" ht="16.5" thickBot="1" x14ac:dyDescent="0.3">
      <c r="A53" s="13" t="s">
        <v>10</v>
      </c>
      <c r="B53" s="15">
        <f>SUM(B41:B52)</f>
        <v>10.252000000000001</v>
      </c>
      <c r="C53" s="15">
        <f t="shared" ref="C53:K53" si="26">SUM(C41:C52)</f>
        <v>-5.78371014702177</v>
      </c>
      <c r="D53" s="15">
        <f t="shared" si="26"/>
        <v>10.829610762024778</v>
      </c>
      <c r="E53" s="15">
        <f t="shared" si="26"/>
        <v>2.7961380587772133</v>
      </c>
      <c r="F53" s="15">
        <f t="shared" si="26"/>
        <v>9.9032200200629052</v>
      </c>
      <c r="G53" s="15">
        <f t="shared" si="26"/>
        <v>-5.218976989120482</v>
      </c>
      <c r="H53" s="15">
        <f t="shared" si="26"/>
        <v>-4.9464403882925243</v>
      </c>
      <c r="I53" s="15">
        <f t="shared" si="26"/>
        <v>9.385803519716875</v>
      </c>
      <c r="J53" s="15">
        <f t="shared" si="26"/>
        <v>2.2793402322876535</v>
      </c>
      <c r="K53" s="15">
        <f t="shared" si="26"/>
        <v>5.3192625349621503</v>
      </c>
    </row>
    <row r="55" spans="1:17" ht="15.75" thickBot="1" x14ac:dyDescent="0.3">
      <c r="A55">
        <v>4</v>
      </c>
    </row>
    <row r="56" spans="1:17" ht="16.5" thickBot="1" x14ac:dyDescent="0.3">
      <c r="B56" s="5" t="s">
        <v>6</v>
      </c>
      <c r="C56" s="18"/>
      <c r="D56" s="6"/>
      <c r="E56" s="7" t="s">
        <v>7</v>
      </c>
      <c r="F56" s="8"/>
      <c r="G56" s="8"/>
      <c r="H56" s="8"/>
      <c r="I56" s="8"/>
      <c r="J56" s="8"/>
      <c r="K56" s="9"/>
      <c r="M56" s="23" t="s">
        <v>11</v>
      </c>
      <c r="N56" s="14">
        <f>C71</f>
        <v>-5.78371014702177</v>
      </c>
      <c r="O56" s="14">
        <f>D71</f>
        <v>10.313075385233695</v>
      </c>
      <c r="P56" s="27">
        <f>B71</f>
        <v>10.252000000000001</v>
      </c>
      <c r="Q56" s="28">
        <f>(N56*O57*P58+O56*N58*P57+N57*O58*P56)-(P56*O57*N58+O56*N57*P58+P57*O58*N56)</f>
        <v>-4.9504447356412129E-3</v>
      </c>
    </row>
    <row r="57" spans="1:17" ht="16.5" thickBot="1" x14ac:dyDescent="0.3">
      <c r="B57" s="10"/>
      <c r="C57" s="19"/>
      <c r="D57" s="11"/>
      <c r="E57" s="20" t="s">
        <v>8</v>
      </c>
      <c r="F57" s="21"/>
      <c r="G57" s="21"/>
      <c r="H57" s="21"/>
      <c r="I57" s="22"/>
      <c r="J57" s="7" t="s">
        <v>9</v>
      </c>
      <c r="K57" s="9"/>
      <c r="L57" s="16"/>
      <c r="M57" s="24"/>
      <c r="N57" s="14">
        <f>E71</f>
        <v>2.7961380587772133</v>
      </c>
      <c r="O57" s="14">
        <f>G71</f>
        <v>-4.9697430849594921</v>
      </c>
      <c r="P57" s="27">
        <f>H71</f>
        <v>-4.9464403882925243</v>
      </c>
      <c r="Q57" s="29"/>
    </row>
    <row r="58" spans="1:17" ht="21" thickBot="1" x14ac:dyDescent="0.4">
      <c r="B58" s="12" t="s">
        <v>0</v>
      </c>
      <c r="C58" s="12" t="s">
        <v>45</v>
      </c>
      <c r="D58" s="12" t="s">
        <v>49</v>
      </c>
      <c r="E58" s="33" t="s">
        <v>19</v>
      </c>
      <c r="F58" s="33" t="s">
        <v>27</v>
      </c>
      <c r="G58" s="33" t="s">
        <v>16</v>
      </c>
      <c r="H58" s="33" t="s">
        <v>22</v>
      </c>
      <c r="I58" s="33" t="s">
        <v>29</v>
      </c>
      <c r="J58" s="34" t="s">
        <v>37</v>
      </c>
      <c r="K58" s="33" t="s">
        <v>38</v>
      </c>
      <c r="L58" s="16"/>
      <c r="M58" s="25"/>
      <c r="N58" s="14">
        <f>G71</f>
        <v>-4.9697430849594921</v>
      </c>
      <c r="O58" s="14">
        <f>F71</f>
        <v>9.0066413414777617</v>
      </c>
      <c r="P58" s="27">
        <f>I71</f>
        <v>8.9512826989537935</v>
      </c>
      <c r="Q58" s="30"/>
    </row>
    <row r="59" spans="1:17" ht="15.75" x14ac:dyDescent="0.25">
      <c r="B59" s="14">
        <f>'Исходные данные'!B2</f>
        <v>0.90400000000000003</v>
      </c>
      <c r="C59" s="14">
        <f>'Исходные данные'!G2</f>
        <v>-0.50184038520617824</v>
      </c>
      <c r="D59" s="14">
        <f>'Исходные данные'!K2</f>
        <v>0.90746343046101585</v>
      </c>
      <c r="E59" s="14">
        <f>C59*C59</f>
        <v>0.25184377222388538</v>
      </c>
      <c r="F59" s="14">
        <f>D59*D59</f>
        <v>0.823489877624075</v>
      </c>
      <c r="G59" s="14">
        <f>C59*D59</f>
        <v>-0.45540179750307613</v>
      </c>
      <c r="H59" s="14">
        <f>B59*C59</f>
        <v>-0.45366370822638513</v>
      </c>
      <c r="I59" s="14">
        <f>B59*D59</f>
        <v>0.82034694113675832</v>
      </c>
      <c r="J59" s="14">
        <f>$M$70+$N$70*C59+$O$70*D59</f>
        <v>0.19572004474956539</v>
      </c>
      <c r="K59" s="14">
        <f>(B59-J59)*(B59-J59)</f>
        <v>0.50166049500955767</v>
      </c>
      <c r="M59" s="23" t="s">
        <v>12</v>
      </c>
      <c r="N59" s="14">
        <f>COUNT(B59:B70)</f>
        <v>12</v>
      </c>
      <c r="O59" s="14">
        <f>D71</f>
        <v>10.313075385233695</v>
      </c>
      <c r="P59" s="14">
        <f>B71</f>
        <v>10.252000000000001</v>
      </c>
      <c r="Q59" s="28">
        <f>(N59*O60*P61+O59*N61*P60+N60*O61*P59)-(P59*O60*N61+O59*N60*P61+P60*O61*N59)</f>
        <v>1.0520482922402152E-2</v>
      </c>
    </row>
    <row r="60" spans="1:17" ht="15.75" x14ac:dyDescent="0.25">
      <c r="B60" s="14">
        <f>'Исходные данные'!B3</f>
        <v>0.92200000000000004</v>
      </c>
      <c r="C60" s="14">
        <f>'Исходные данные'!G3</f>
        <v>-0.49662110652010283</v>
      </c>
      <c r="D60" s="14">
        <f>'Исходные данные'!K3</f>
        <v>0.93243738601549631</v>
      </c>
      <c r="E60" s="14">
        <f t="shared" ref="E60:F70" si="27">C60*C60</f>
        <v>0.24663252344125133</v>
      </c>
      <c r="F60" s="14">
        <f t="shared" si="27"/>
        <v>0.86943947883941164</v>
      </c>
      <c r="G60" s="14">
        <f t="shared" ref="G60:G70" si="28">C60*D60</f>
        <v>-0.46306808640372804</v>
      </c>
      <c r="H60" s="14">
        <f t="shared" ref="H60:H70" si="29">B60*C60</f>
        <v>-0.45788466021153484</v>
      </c>
      <c r="I60" s="14">
        <f t="shared" ref="I60:I70" si="30">B60*D60</f>
        <v>0.85970726990628765</v>
      </c>
      <c r="J60" s="14">
        <f t="shared" ref="J60:J70" si="31">$M$70+$N$70*C60+$O$70*D60</f>
        <v>0.22405288343155916</v>
      </c>
      <c r="K60" s="14">
        <f t="shared" ref="K60:K70" si="32">(B60-J60)*(B60-J60)</f>
        <v>0.4871301775262008</v>
      </c>
      <c r="M60" s="24"/>
      <c r="N60" s="14">
        <f>C71</f>
        <v>-5.78371014702177</v>
      </c>
      <c r="O60" s="14">
        <f>G71</f>
        <v>-4.9697430849594921</v>
      </c>
      <c r="P60" s="14">
        <f>H71</f>
        <v>-4.9464403882925243</v>
      </c>
      <c r="Q60" s="29"/>
    </row>
    <row r="61" spans="1:17" ht="16.5" thickBot="1" x14ac:dyDescent="0.3">
      <c r="B61" s="14">
        <f>'Исходные данные'!B4</f>
        <v>0.76300000000000001</v>
      </c>
      <c r="C61" s="14">
        <f>'Исходные данные'!G4</f>
        <v>-0.53132691066272697</v>
      </c>
      <c r="D61" s="14">
        <f>'Исходные данные'!K4</f>
        <v>0.71886291196525531</v>
      </c>
      <c r="E61" s="14">
        <f t="shared" si="27"/>
        <v>0.28230828599439745</v>
      </c>
      <c r="F61" s="14">
        <f t="shared" si="27"/>
        <v>0.51676388619916636</v>
      </c>
      <c r="G61" s="14">
        <f t="shared" si="28"/>
        <v>-0.38195121020451095</v>
      </c>
      <c r="H61" s="14">
        <f t="shared" si="29"/>
        <v>-0.40540243283566069</v>
      </c>
      <c r="I61" s="14">
        <f t="shared" si="30"/>
        <v>0.54849240182948977</v>
      </c>
      <c r="J61" s="14">
        <f t="shared" si="31"/>
        <v>-1.1122177789559484E-2</v>
      </c>
      <c r="K61" s="14">
        <f t="shared" si="32"/>
        <v>0.59926514614565041</v>
      </c>
      <c r="L61" s="16"/>
      <c r="M61" s="25"/>
      <c r="N61" s="14">
        <f>D71</f>
        <v>10.313075385233695</v>
      </c>
      <c r="O61" s="14">
        <f>F71</f>
        <v>9.0066413414777617</v>
      </c>
      <c r="P61" s="14">
        <f>I71</f>
        <v>8.9512826989537935</v>
      </c>
      <c r="Q61" s="30"/>
    </row>
    <row r="62" spans="1:17" ht="15.75" x14ac:dyDescent="0.25">
      <c r="B62" s="14">
        <f>'Исходные данные'!B5</f>
        <v>0.92300000000000004</v>
      </c>
      <c r="C62" s="14">
        <f>'Исходные данные'!G5</f>
        <v>-0.45326744666055685</v>
      </c>
      <c r="D62" s="14">
        <f>'Исходные данные'!K5</f>
        <v>0.91174440046305383</v>
      </c>
      <c r="E62" s="14">
        <f t="shared" si="27"/>
        <v>0.20545137820218076</v>
      </c>
      <c r="F62" s="14">
        <f t="shared" si="27"/>
        <v>0.83127785177573343</v>
      </c>
      <c r="G62" s="14">
        <f t="shared" si="28"/>
        <v>-0.41326405640494862</v>
      </c>
      <c r="H62" s="14">
        <f t="shared" si="29"/>
        <v>-0.41836585326769399</v>
      </c>
      <c r="I62" s="14">
        <f t="shared" si="30"/>
        <v>0.84154008162739868</v>
      </c>
      <c r="J62" s="14">
        <f t="shared" si="31"/>
        <v>0.23478705288105695</v>
      </c>
      <c r="K62" s="14">
        <f t="shared" si="32"/>
        <v>0.47363706058214117</v>
      </c>
      <c r="M62" s="23" t="s">
        <v>23</v>
      </c>
      <c r="N62" s="14">
        <f>COUNT(B59:B70)</f>
        <v>12</v>
      </c>
      <c r="O62" s="14">
        <f>C71</f>
        <v>-5.78371014702177</v>
      </c>
      <c r="P62" s="14">
        <f>B71</f>
        <v>10.252000000000001</v>
      </c>
      <c r="Q62" s="28">
        <f t="shared" ref="Q62" si="33">(N62*O63*P64+O62*N64*P63+N63*O64*P62)-(P62*O63*N64+O62*N63*P64+P63*O64*N62)</f>
        <v>1.4435554359465641E-2</v>
      </c>
    </row>
    <row r="63" spans="1:17" ht="15.75" x14ac:dyDescent="0.25">
      <c r="B63" s="14">
        <f>'Исходные данные'!B6</f>
        <v>0.91800000000000004</v>
      </c>
      <c r="C63" s="14">
        <f>'Исходные данные'!G6</f>
        <v>-0.49353039081893918</v>
      </c>
      <c r="D63" s="14">
        <f>'Исходные данные'!K6</f>
        <v>0.91160313553174976</v>
      </c>
      <c r="E63" s="14">
        <f t="shared" si="27"/>
        <v>0.24357224666189484</v>
      </c>
      <c r="F63" s="14">
        <f t="shared" si="27"/>
        <v>0.83102027671131773</v>
      </c>
      <c r="G63" s="14">
        <f t="shared" si="28"/>
        <v>-0.44990385175075487</v>
      </c>
      <c r="H63" s="14">
        <f t="shared" si="29"/>
        <v>-0.45306089877178618</v>
      </c>
      <c r="I63" s="14">
        <f t="shared" si="30"/>
        <v>0.83685167841814634</v>
      </c>
      <c r="J63" s="14">
        <f>$M$70+$N$70*C63+$O$70*D63</f>
        <v>0.2057583693040872</v>
      </c>
      <c r="K63" s="14">
        <f t="shared" si="32"/>
        <v>0.50728814049637305</v>
      </c>
      <c r="M63" s="24"/>
      <c r="N63" s="14">
        <f>C71</f>
        <v>-5.78371014702177</v>
      </c>
      <c r="O63" s="14">
        <f>E71</f>
        <v>2.7961380587772133</v>
      </c>
      <c r="P63" s="14">
        <f>H71</f>
        <v>-4.9464403882925243</v>
      </c>
      <c r="Q63" s="29"/>
    </row>
    <row r="64" spans="1:17" ht="16.5" thickBot="1" x14ac:dyDescent="0.3">
      <c r="B64" s="14">
        <f>'Исходные данные'!B7</f>
        <v>0.90600000000000003</v>
      </c>
      <c r="C64" s="14">
        <f>'Исходные данные'!G7</f>
        <v>-0.47974447518133229</v>
      </c>
      <c r="D64" s="14">
        <f>'Исходные данные'!K7</f>
        <v>0.91164606899126377</v>
      </c>
      <c r="E64" s="14">
        <f t="shared" si="27"/>
        <v>0.23015476146701194</v>
      </c>
      <c r="F64" s="14">
        <f t="shared" si="27"/>
        <v>0.83109855510722408</v>
      </c>
      <c r="G64" s="14">
        <f t="shared" si="28"/>
        <v>-0.43735716491933846</v>
      </c>
      <c r="H64" s="14">
        <f t="shared" si="29"/>
        <v>-0.43464849451428705</v>
      </c>
      <c r="I64" s="14">
        <f t="shared" si="30"/>
        <v>0.82595133850608504</v>
      </c>
      <c r="J64" s="14">
        <f t="shared" si="31"/>
        <v>0.21569235538736264</v>
      </c>
      <c r="K64" s="14">
        <f t="shared" si="32"/>
        <v>0.47652464421064727</v>
      </c>
      <c r="L64" s="16"/>
      <c r="M64" s="25"/>
      <c r="N64" s="14">
        <f>D71</f>
        <v>10.313075385233695</v>
      </c>
      <c r="O64" s="14">
        <f>G71</f>
        <v>-4.9697430849594921</v>
      </c>
      <c r="P64" s="14">
        <f>I71</f>
        <v>8.9512826989537935</v>
      </c>
      <c r="Q64" s="30"/>
    </row>
    <row r="65" spans="1:17" ht="15.75" x14ac:dyDescent="0.25">
      <c r="B65" s="14">
        <f>'Исходные данные'!B8</f>
        <v>0.90500000000000003</v>
      </c>
      <c r="C65" s="14">
        <f>'Исходные данные'!G8</f>
        <v>-0.46418924476885393</v>
      </c>
      <c r="D65" s="14">
        <f>'Исходные данные'!K8</f>
        <v>0.88045193787832954</v>
      </c>
      <c r="E65" s="14">
        <f t="shared" si="27"/>
        <v>0.215471654959079</v>
      </c>
      <c r="F65" s="14">
        <f t="shared" si="27"/>
        <v>0.77519561491370581</v>
      </c>
      <c r="G65" s="14">
        <f t="shared" si="28"/>
        <v>-0.40869632009901569</v>
      </c>
      <c r="H65" s="14">
        <f t="shared" si="29"/>
        <v>-0.4200912665158128</v>
      </c>
      <c r="I65" s="14">
        <f t="shared" si="30"/>
        <v>0.79680900377988828</v>
      </c>
      <c r="J65" s="14">
        <f t="shared" si="31"/>
        <v>0.19614169384448199</v>
      </c>
      <c r="K65" s="14">
        <f t="shared" si="32"/>
        <v>0.50248009820567019</v>
      </c>
      <c r="M65" s="24" t="s">
        <v>13</v>
      </c>
      <c r="N65" s="14">
        <f>COUNT(B59:B70)</f>
        <v>12</v>
      </c>
      <c r="O65" s="14">
        <f>C71</f>
        <v>-5.78371014702177</v>
      </c>
      <c r="P65" s="14">
        <f>D71</f>
        <v>10.313075385233695</v>
      </c>
      <c r="Q65" s="28">
        <f t="shared" ref="Q65" si="34">(N65*O66*P67+O65*N67*P66+N66*O67*P65)-(P65*O66*N67+O65*N66*P67+P66*O67*N65)</f>
        <v>1.4662216868714495E-2</v>
      </c>
    </row>
    <row r="66" spans="1:17" ht="15.75" x14ac:dyDescent="0.25">
      <c r="B66" s="14">
        <f>'Исходные данные'!B9</f>
        <v>0.54500000000000004</v>
      </c>
      <c r="C66" s="14">
        <f>'Исходные данные'!G9</f>
        <v>-0.43307661956587695</v>
      </c>
      <c r="D66" s="14">
        <f>'Исходные данные'!K9</f>
        <v>0.60545294049247489</v>
      </c>
      <c r="E66" s="14">
        <f t="shared" si="27"/>
        <v>0.18755535841460733</v>
      </c>
      <c r="F66" s="14">
        <f t="shared" si="27"/>
        <v>0.36657326315098432</v>
      </c>
      <c r="G66" s="14">
        <f t="shared" si="28"/>
        <v>-0.26220751277470111</v>
      </c>
      <c r="H66" s="14">
        <f t="shared" si="29"/>
        <v>-0.23602675766340295</v>
      </c>
      <c r="I66" s="14">
        <f t="shared" si="30"/>
        <v>0.32997185256839884</v>
      </c>
      <c r="J66" s="14">
        <f t="shared" si="31"/>
        <v>-5.2282072224283493E-2</v>
      </c>
      <c r="K66" s="14">
        <f t="shared" si="32"/>
        <v>0.35674587380053424</v>
      </c>
      <c r="M66" s="24"/>
      <c r="N66" s="14">
        <f>C71</f>
        <v>-5.78371014702177</v>
      </c>
      <c r="O66" s="14">
        <f>E71</f>
        <v>2.7961380587772133</v>
      </c>
      <c r="P66" s="14">
        <f>G71</f>
        <v>-4.9697430849594921</v>
      </c>
      <c r="Q66" s="29"/>
    </row>
    <row r="67" spans="1:17" ht="16.5" thickBot="1" x14ac:dyDescent="0.3">
      <c r="B67" s="14">
        <f>'Исходные данные'!B10</f>
        <v>0.89400000000000002</v>
      </c>
      <c r="C67" s="14">
        <f>'Исходные данные'!G10</f>
        <v>-0.48401121240232464</v>
      </c>
      <c r="D67" s="14">
        <f>'Исходные данные'!K10</f>
        <v>0.9283844711639947</v>
      </c>
      <c r="E67" s="14">
        <f t="shared" si="27"/>
        <v>0.23426685373116821</v>
      </c>
      <c r="F67" s="14">
        <f t="shared" si="27"/>
        <v>0.86189772629845007</v>
      </c>
      <c r="G67" s="14">
        <f t="shared" si="28"/>
        <v>-0.44934849346357608</v>
      </c>
      <c r="H67" s="14">
        <f t="shared" si="29"/>
        <v>-0.43270602388767826</v>
      </c>
      <c r="I67" s="14">
        <f t="shared" si="30"/>
        <v>0.82997571722061125</v>
      </c>
      <c r="J67" s="14">
        <f t="shared" si="31"/>
        <v>0.22911051582986841</v>
      </c>
      <c r="K67" s="14">
        <f t="shared" si="32"/>
        <v>0.44207802616002367</v>
      </c>
      <c r="M67" s="25"/>
      <c r="N67" s="14">
        <f>D71</f>
        <v>10.313075385233695</v>
      </c>
      <c r="O67" s="14">
        <f>G71</f>
        <v>-4.9697430849594921</v>
      </c>
      <c r="P67" s="14">
        <f>F71</f>
        <v>9.0066413414777617</v>
      </c>
      <c r="Q67" s="30"/>
    </row>
    <row r="68" spans="1:17" ht="15.75" x14ac:dyDescent="0.25">
      <c r="B68" s="14">
        <f>'Исходные данные'!B11</f>
        <v>0.9</v>
      </c>
      <c r="C68" s="14">
        <f>'Исходные данные'!G11</f>
        <v>-0.45396983869540819</v>
      </c>
      <c r="D68" s="14">
        <f>'Исходные данные'!K11</f>
        <v>0.93266959601695365</v>
      </c>
      <c r="E68" s="14">
        <f t="shared" si="27"/>
        <v>0.20608861444513493</v>
      </c>
      <c r="F68" s="14">
        <f t="shared" si="27"/>
        <v>0.86987257533442752</v>
      </c>
      <c r="G68" s="14">
        <f t="shared" si="28"/>
        <v>-0.42340386605992797</v>
      </c>
      <c r="H68" s="14">
        <f t="shared" si="29"/>
        <v>-0.40857285482586736</v>
      </c>
      <c r="I68" s="14">
        <f t="shared" si="30"/>
        <v>0.83940263641525825</v>
      </c>
      <c r="J68" s="14">
        <f t="shared" si="31"/>
        <v>0.25488478415401683</v>
      </c>
      <c r="K68" s="14">
        <f t="shared" si="32"/>
        <v>0.41617364171600946</v>
      </c>
    </row>
    <row r="69" spans="1:17" ht="16.5" thickBot="1" x14ac:dyDescent="0.3">
      <c r="B69" s="14">
        <f>'Исходные данные'!B12</f>
        <v>0.93200000000000005</v>
      </c>
      <c r="C69" s="14">
        <f>'Исходные данные'!G12</f>
        <v>-0.47833007986046072</v>
      </c>
      <c r="D69" s="14">
        <f>'Исходные данные'!K12</f>
        <v>0.96191686936162513</v>
      </c>
      <c r="E69" s="14">
        <f t="shared" si="27"/>
        <v>0.22879966529931473</v>
      </c>
      <c r="F69" s="14">
        <f t="shared" si="27"/>
        <v>0.92528406356246973</v>
      </c>
      <c r="G69" s="14">
        <f t="shared" si="28"/>
        <v>-0.46011377294087052</v>
      </c>
      <c r="H69" s="14">
        <f t="shared" si="29"/>
        <v>-0.44580363442994941</v>
      </c>
      <c r="I69" s="14">
        <f t="shared" si="30"/>
        <v>0.89650652224503469</v>
      </c>
      <c r="J69" s="14">
        <f t="shared" si="31"/>
        <v>0.2662008835240004</v>
      </c>
      <c r="K69" s="14">
        <f t="shared" si="32"/>
        <v>0.44328846350022177</v>
      </c>
      <c r="M69" s="31" t="s">
        <v>24</v>
      </c>
      <c r="N69" s="31" t="s">
        <v>14</v>
      </c>
      <c r="O69" s="31" t="s">
        <v>25</v>
      </c>
      <c r="P69" s="31" t="s">
        <v>15</v>
      </c>
    </row>
    <row r="70" spans="1:17" ht="16.5" thickBot="1" x14ac:dyDescent="0.3">
      <c r="B70" s="14">
        <f>'Исходные данные'!B13</f>
        <v>0.74</v>
      </c>
      <c r="C70" s="14">
        <f>'Исходные данные'!G13</f>
        <v>-0.51380243667900927</v>
      </c>
      <c r="D70" s="14">
        <f>'Исходные данные'!K13</f>
        <v>0.7104422368924832</v>
      </c>
      <c r="E70" s="14">
        <f t="shared" si="27"/>
        <v>0.26399294393728734</v>
      </c>
      <c r="F70" s="14">
        <f t="shared" si="27"/>
        <v>0.50472817196079522</v>
      </c>
      <c r="G70" s="14">
        <f t="shared" si="28"/>
        <v>-0.36502695243504379</v>
      </c>
      <c r="H70" s="14">
        <f t="shared" si="29"/>
        <v>-0.38021380314246683</v>
      </c>
      <c r="I70" s="14">
        <f t="shared" si="30"/>
        <v>0.52572725530043751</v>
      </c>
      <c r="J70" s="14">
        <f t="shared" si="31"/>
        <v>-6.8384588215633091E-3</v>
      </c>
      <c r="K70" s="14">
        <f t="shared" si="32"/>
        <v>0.55776768357496787</v>
      </c>
      <c r="M70" s="15">
        <f>Q56/Q65</f>
        <v>-0.33763275908189738</v>
      </c>
      <c r="N70" s="15">
        <f>Q59/Q65</f>
        <v>0.71752334702197951</v>
      </c>
      <c r="O70" s="15">
        <f>Q62/Q65</f>
        <v>0.98454104783209861</v>
      </c>
      <c r="P70" s="15">
        <f>K71/COUNT(B59:B70)</f>
        <v>0.48033662091066648</v>
      </c>
    </row>
    <row r="71" spans="1:17" ht="16.5" thickBot="1" x14ac:dyDescent="0.3">
      <c r="A71" s="13" t="s">
        <v>10</v>
      </c>
      <c r="B71" s="15">
        <f>SUM(B59:B70)</f>
        <v>10.252000000000001</v>
      </c>
      <c r="C71" s="15">
        <f t="shared" ref="C71:K71" si="35">SUM(C59:C70)</f>
        <v>-5.78371014702177</v>
      </c>
      <c r="D71" s="15">
        <f t="shared" si="35"/>
        <v>10.313075385233695</v>
      </c>
      <c r="E71" s="15">
        <f t="shared" si="35"/>
        <v>2.7961380587772133</v>
      </c>
      <c r="F71" s="15">
        <f t="shared" si="35"/>
        <v>9.0066413414777617</v>
      </c>
      <c r="G71" s="15">
        <f t="shared" si="35"/>
        <v>-4.9697430849594921</v>
      </c>
      <c r="H71" s="15">
        <f t="shared" si="35"/>
        <v>-4.9464403882925243</v>
      </c>
      <c r="I71" s="15">
        <f t="shared" si="35"/>
        <v>8.9512826989537935</v>
      </c>
      <c r="J71" s="15">
        <f t="shared" si="35"/>
        <v>1.9521058742705928</v>
      </c>
      <c r="K71" s="15">
        <f t="shared" si="35"/>
        <v>5.7640394509279975</v>
      </c>
    </row>
    <row r="73" spans="1:17" ht="15.75" thickBot="1" x14ac:dyDescent="0.3">
      <c r="A73">
        <v>5</v>
      </c>
    </row>
    <row r="74" spans="1:17" ht="16.5" thickBot="1" x14ac:dyDescent="0.3">
      <c r="B74" s="5" t="s">
        <v>6</v>
      </c>
      <c r="C74" s="18"/>
      <c r="D74" s="6"/>
      <c r="E74" s="7" t="s">
        <v>7</v>
      </c>
      <c r="F74" s="8"/>
      <c r="G74" s="8"/>
      <c r="H74" s="8"/>
      <c r="I74" s="8"/>
      <c r="J74" s="8"/>
      <c r="K74" s="9"/>
      <c r="M74" s="23" t="s">
        <v>11</v>
      </c>
      <c r="N74" s="14">
        <f>C89</f>
        <v>1.6169394089559219</v>
      </c>
      <c r="O74" s="14">
        <f>D89</f>
        <v>18.176028653046032</v>
      </c>
      <c r="P74" s="27">
        <f>B89</f>
        <v>10.252000000000001</v>
      </c>
      <c r="Q74" s="28">
        <f>(N74*O75*P76+O74*N76*P75+N75*O76*P74)-(P74*O75*N76+O74*N75*P76+P75*O76*N74)</f>
        <v>4.7609709474045303E-2</v>
      </c>
    </row>
    <row r="75" spans="1:17" ht="16.5" thickBot="1" x14ac:dyDescent="0.3">
      <c r="B75" s="10"/>
      <c r="C75" s="19"/>
      <c r="D75" s="11"/>
      <c r="E75" s="20" t="s">
        <v>8</v>
      </c>
      <c r="F75" s="21"/>
      <c r="G75" s="21"/>
      <c r="H75" s="21"/>
      <c r="I75" s="22"/>
      <c r="J75" s="7" t="s">
        <v>9</v>
      </c>
      <c r="K75" s="9"/>
      <c r="L75" s="16"/>
      <c r="M75" s="24"/>
      <c r="N75" s="14">
        <f>E89</f>
        <v>0.32757587166400731</v>
      </c>
      <c r="O75" s="14">
        <f>G89</f>
        <v>2.4360840406538653</v>
      </c>
      <c r="P75" s="27">
        <f>H89</f>
        <v>1.498530941545235</v>
      </c>
      <c r="Q75" s="29"/>
    </row>
    <row r="76" spans="1:17" ht="21" thickBot="1" x14ac:dyDescent="0.4">
      <c r="B76" s="12" t="s">
        <v>0</v>
      </c>
      <c r="C76" s="12" t="s">
        <v>46</v>
      </c>
      <c r="D76" s="12" t="s">
        <v>47</v>
      </c>
      <c r="E76" s="33" t="s">
        <v>19</v>
      </c>
      <c r="F76" s="33" t="s">
        <v>32</v>
      </c>
      <c r="G76" s="33" t="s">
        <v>39</v>
      </c>
      <c r="H76" s="33" t="s">
        <v>22</v>
      </c>
      <c r="I76" s="33" t="s">
        <v>34</v>
      </c>
      <c r="J76" s="34" t="s">
        <v>41</v>
      </c>
      <c r="K76" s="33" t="s">
        <v>40</v>
      </c>
      <c r="L76" s="16"/>
      <c r="M76" s="25"/>
      <c r="N76" s="14">
        <f>G89</f>
        <v>2.4360840406538653</v>
      </c>
      <c r="O76" s="14">
        <f>F89</f>
        <v>27.561479598991021</v>
      </c>
      <c r="P76" s="27">
        <f>I89</f>
        <v>15.50441422983833</v>
      </c>
      <c r="Q76" s="30"/>
    </row>
    <row r="77" spans="1:17" ht="15.75" x14ac:dyDescent="0.25">
      <c r="B77" s="14">
        <f>'Исходные данные'!B2</f>
        <v>0.90400000000000003</v>
      </c>
      <c r="C77" s="14">
        <f>'Исходные данные'!H2</f>
        <v>0.190658376965537</v>
      </c>
      <c r="D77" s="14">
        <f>'Исходные данные'!I2</f>
        <v>1.5763812353967626</v>
      </c>
      <c r="E77" s="14">
        <f>C77*C77</f>
        <v>3.6350616707132813E-2</v>
      </c>
      <c r="F77" s="14">
        <f>D77*D77</f>
        <v>2.4849777993110234</v>
      </c>
      <c r="G77" s="14">
        <f>C77*D77</f>
        <v>0.30055028781967486</v>
      </c>
      <c r="H77" s="14">
        <f>B77*C77</f>
        <v>0.17235517277684545</v>
      </c>
      <c r="I77" s="14">
        <f>B77*D77</f>
        <v>1.4250486367986734</v>
      </c>
      <c r="J77" s="14">
        <f>$M$88+$N$88*C77+$O$88*D77</f>
        <v>0.49900414067783749</v>
      </c>
      <c r="K77" s="14">
        <f>(B77-J77)*(B77-J77)</f>
        <v>0.16402164606809685</v>
      </c>
      <c r="M77" s="23" t="s">
        <v>12</v>
      </c>
      <c r="N77" s="14">
        <f>COUNT(B77:B88)</f>
        <v>12</v>
      </c>
      <c r="O77" s="14">
        <f>D89</f>
        <v>18.176028653046032</v>
      </c>
      <c r="P77" s="14">
        <f>B89</f>
        <v>10.252000000000001</v>
      </c>
      <c r="Q77" s="28">
        <f>(N77*O78*P79+O77*N79*P78+N78*O79*P77)-(P77*O78*N79+O77*N78*P79+P78*O79*N77)</f>
        <v>-3.9553331083197918E-2</v>
      </c>
    </row>
    <row r="78" spans="1:17" ht="15.75" x14ac:dyDescent="0.25">
      <c r="B78" s="14">
        <f>'Исходные данные'!B3</f>
        <v>0.92200000000000004</v>
      </c>
      <c r="C78" s="14">
        <f>'Исходные данные'!H3</f>
        <v>0.20012848552330764</v>
      </c>
      <c r="D78" s="14">
        <f>'Исходные данные'!I3</f>
        <v>1.5217824221156726</v>
      </c>
      <c r="E78" s="14">
        <f t="shared" ref="E78:F88" si="36">C78*C78</f>
        <v>4.0051410717852759E-2</v>
      </c>
      <c r="F78" s="14">
        <f t="shared" si="36"/>
        <v>2.315821740260243</v>
      </c>
      <c r="G78" s="14">
        <f t="shared" ref="G78:G88" si="37">C78*D78</f>
        <v>0.3045520114340004</v>
      </c>
      <c r="H78" s="14">
        <f t="shared" ref="H78:H88" si="38">B78*C78</f>
        <v>0.18451846365248967</v>
      </c>
      <c r="I78" s="14">
        <f t="shared" ref="I78:I88" si="39">B78*D78</f>
        <v>1.4030833931906501</v>
      </c>
      <c r="J78" s="14">
        <f t="shared" ref="J78:J88" si="40">$M$88+$N$88*C78+$O$88*D78</f>
        <v>0.50802532031130931</v>
      </c>
      <c r="K78" s="14">
        <f t="shared" ref="K78:K87" si="41">(B78-J78)*(B78-J78)</f>
        <v>0.17137503542335408</v>
      </c>
      <c r="M78" s="24"/>
      <c r="N78" s="14">
        <f>C89</f>
        <v>1.6169394089559219</v>
      </c>
      <c r="O78" s="14">
        <f>G89</f>
        <v>2.4360840406538653</v>
      </c>
      <c r="P78" s="14">
        <f>H89</f>
        <v>1.498530941545235</v>
      </c>
      <c r="Q78" s="29"/>
    </row>
    <row r="79" spans="1:17" ht="16.5" thickBot="1" x14ac:dyDescent="0.3">
      <c r="B79" s="14">
        <f>'Исходные данные'!B4</f>
        <v>0.76300000000000001</v>
      </c>
      <c r="C79" s="14">
        <f>'Исходные данные'!H4</f>
        <v>2.066879355199891E-3</v>
      </c>
      <c r="D79" s="14">
        <f>'Исходные данные'!I4</f>
        <v>1.5836155580054945</v>
      </c>
      <c r="E79" s="14">
        <f t="shared" si="36"/>
        <v>4.2719902689515168E-6</v>
      </c>
      <c r="F79" s="14">
        <f t="shared" si="36"/>
        <v>2.5078382355570534</v>
      </c>
      <c r="G79" s="14">
        <f t="shared" si="37"/>
        <v>3.2731423034149118E-3</v>
      </c>
      <c r="H79" s="14">
        <f t="shared" si="38"/>
        <v>1.5770289480175168E-3</v>
      </c>
      <c r="I79" s="14">
        <f t="shared" si="39"/>
        <v>1.2082986707581922</v>
      </c>
      <c r="J79" s="14">
        <f t="shared" si="40"/>
        <v>0.69017608241043127</v>
      </c>
      <c r="K79" s="14">
        <f t="shared" si="41"/>
        <v>5.3033229730922995E-3</v>
      </c>
      <c r="L79" s="16"/>
      <c r="M79" s="25"/>
      <c r="N79" s="14">
        <f>D89</f>
        <v>18.176028653046032</v>
      </c>
      <c r="O79" s="14">
        <f>F89</f>
        <v>27.561479598991021</v>
      </c>
      <c r="P79" s="14">
        <f>I89</f>
        <v>15.50441422983833</v>
      </c>
      <c r="Q79" s="30"/>
    </row>
    <row r="80" spans="1:17" ht="15.75" x14ac:dyDescent="0.25">
      <c r="B80" s="14">
        <f>'Исходные данные'!B5</f>
        <v>0.92300000000000004</v>
      </c>
      <c r="C80" s="14">
        <f>'Исходные данные'!H5</f>
        <v>0.18436815902860393</v>
      </c>
      <c r="D80" s="14">
        <f>'Исходные данные'!I5</f>
        <v>1.4601167591160387</v>
      </c>
      <c r="E80" s="14">
        <f t="shared" si="36"/>
        <v>3.3991618063596588E-2</v>
      </c>
      <c r="F80" s="14">
        <f t="shared" si="36"/>
        <v>2.1319409502515239</v>
      </c>
      <c r="G80" s="14">
        <f t="shared" si="37"/>
        <v>0.2691990388450356</v>
      </c>
      <c r="H80" s="14">
        <f t="shared" si="38"/>
        <v>0.17017181078340143</v>
      </c>
      <c r="I80" s="14">
        <f t="shared" si="39"/>
        <v>1.3476877686641038</v>
      </c>
      <c r="J80" s="14">
        <f t="shared" si="40"/>
        <v>0.54538072969381124</v>
      </c>
      <c r="K80" s="14">
        <f t="shared" si="41"/>
        <v>0.14259631330657849</v>
      </c>
      <c r="M80" s="23" t="s">
        <v>23</v>
      </c>
      <c r="N80" s="14">
        <f>COUNT(B77:B88)</f>
        <v>12</v>
      </c>
      <c r="O80" s="14">
        <f>C89</f>
        <v>1.6169394089559219</v>
      </c>
      <c r="P80" s="14">
        <f>B89</f>
        <v>10.252000000000001</v>
      </c>
      <c r="Q80" s="28">
        <f t="shared" ref="Q80" si="42">(N80*O81*P82+O80*N82*P81+N81*O82*P80)-(P80*O81*N82+O80*N81*P82+P81*O82*N80)</f>
        <v>-1.3224848258431621E-2</v>
      </c>
    </row>
    <row r="81" spans="1:17" ht="15.75" x14ac:dyDescent="0.25">
      <c r="B81" s="14">
        <f>'Исходные данные'!B6</f>
        <v>0.91800000000000004</v>
      </c>
      <c r="C81" s="14">
        <f>'Исходные данные'!H6</f>
        <v>0.1533567385970569</v>
      </c>
      <c r="D81" s="14">
        <f>'Исходные данные'!I6</f>
        <v>1.4292932268482972</v>
      </c>
      <c r="E81" s="14">
        <f t="shared" si="36"/>
        <v>2.351828927312604E-2</v>
      </c>
      <c r="F81" s="14">
        <f t="shared" si="36"/>
        <v>2.0428791283144179</v>
      </c>
      <c r="G81" s="14">
        <f t="shared" si="37"/>
        <v>0.21919174776831826</v>
      </c>
      <c r="H81" s="14">
        <f t="shared" si="38"/>
        <v>0.14078148603209822</v>
      </c>
      <c r="I81" s="14">
        <f t="shared" si="39"/>
        <v>1.3120911822467369</v>
      </c>
      <c r="J81" s="14">
        <f t="shared" si="40"/>
        <v>0.58780764004585084</v>
      </c>
      <c r="K81" s="14">
        <f t="shared" si="41"/>
        <v>0.10902699457209043</v>
      </c>
      <c r="M81" s="24"/>
      <c r="N81" s="14">
        <f>C89</f>
        <v>1.6169394089559219</v>
      </c>
      <c r="O81" s="14">
        <f>E89</f>
        <v>0.32757587166400731</v>
      </c>
      <c r="P81" s="14">
        <f>H89</f>
        <v>1.498530941545235</v>
      </c>
      <c r="Q81" s="29"/>
    </row>
    <row r="82" spans="1:17" ht="16.5" thickBot="1" x14ac:dyDescent="0.3">
      <c r="B82" s="14">
        <f>'Исходные данные'!B7</f>
        <v>0.90600000000000003</v>
      </c>
      <c r="C82" s="14">
        <f>'Исходные данные'!H7</f>
        <v>0.19269958541319854</v>
      </c>
      <c r="D82" s="14">
        <f>'Исходные данные'!I7</f>
        <v>1.5321481115927684</v>
      </c>
      <c r="E82" s="14">
        <f t="shared" si="36"/>
        <v>3.7133130218418596E-2</v>
      </c>
      <c r="F82" s="14">
        <f t="shared" si="36"/>
        <v>2.3474778358572865</v>
      </c>
      <c r="G82" s="14">
        <f t="shared" si="37"/>
        <v>0.29524430589554151</v>
      </c>
      <c r="H82" s="14">
        <f t="shared" si="38"/>
        <v>0.17458582438435788</v>
      </c>
      <c r="I82" s="14">
        <f t="shared" si="39"/>
        <v>1.3881261891030483</v>
      </c>
      <c r="J82" s="14">
        <f t="shared" si="40"/>
        <v>0.51209482203509138</v>
      </c>
      <c r="K82" s="14">
        <f t="shared" si="41"/>
        <v>0.15516128922756636</v>
      </c>
      <c r="L82" s="16"/>
      <c r="M82" s="25"/>
      <c r="N82" s="14">
        <f>D89</f>
        <v>18.176028653046032</v>
      </c>
      <c r="O82" s="14">
        <f>G89</f>
        <v>2.4360840406538653</v>
      </c>
      <c r="P82" s="14">
        <f>I89</f>
        <v>15.50441422983833</v>
      </c>
      <c r="Q82" s="30"/>
    </row>
    <row r="83" spans="1:17" ht="15.75" x14ac:dyDescent="0.25">
      <c r="B83" s="14">
        <f>'Исходные данные'!B8</f>
        <v>0.90500000000000003</v>
      </c>
      <c r="C83" s="14">
        <f>'Исходные данные'!H8</f>
        <v>0.16304195439338032</v>
      </c>
      <c r="D83" s="14">
        <f>'Исходные данные'!I8</f>
        <v>1.505035214840194</v>
      </c>
      <c r="E83" s="14">
        <f t="shared" si="36"/>
        <v>2.6582678892413107E-2</v>
      </c>
      <c r="F83" s="14">
        <f t="shared" si="36"/>
        <v>2.2651309979090688</v>
      </c>
      <c r="G83" s="14">
        <f t="shared" si="37"/>
        <v>0.24538388285840626</v>
      </c>
      <c r="H83" s="14">
        <f t="shared" si="38"/>
        <v>0.1475529687260092</v>
      </c>
      <c r="I83" s="14">
        <f t="shared" si="39"/>
        <v>1.3620568694303756</v>
      </c>
      <c r="J83" s="14">
        <f t="shared" si="40"/>
        <v>0.55185760525938043</v>
      </c>
      <c r="K83" s="14">
        <f t="shared" si="41"/>
        <v>0.12470955096313958</v>
      </c>
      <c r="M83" s="24" t="s">
        <v>13</v>
      </c>
      <c r="N83" s="14">
        <f>COUNT(B77:B88)</f>
        <v>12</v>
      </c>
      <c r="O83" s="14">
        <f>C89</f>
        <v>1.6169394089559219</v>
      </c>
      <c r="P83" s="14">
        <f>D89</f>
        <v>18.176028653046032</v>
      </c>
      <c r="Q83" s="28">
        <f t="shared" ref="Q83" si="43">(N83*O84*P85+O83*N85*P84+N84*O85*P83)-(P83*O84*N85+O83*N84*P85+P84*O85*N83)</f>
        <v>3.8518984841431347E-2</v>
      </c>
    </row>
    <row r="84" spans="1:17" ht="15.75" x14ac:dyDescent="0.25">
      <c r="B84" s="14">
        <f>'Исходные данные'!B9</f>
        <v>0.54500000000000004</v>
      </c>
      <c r="C84" s="14">
        <f>'Исходные данные'!H9</f>
        <v>-5.2582891710293067E-2</v>
      </c>
      <c r="D84" s="14">
        <f>'Исходные данные'!I9</f>
        <v>1.573857473405059</v>
      </c>
      <c r="E84" s="14">
        <f t="shared" si="36"/>
        <v>2.7649605006164072E-3</v>
      </c>
      <c r="F84" s="14">
        <f t="shared" si="36"/>
        <v>2.4770273465929558</v>
      </c>
      <c r="G84" s="14">
        <f t="shared" si="37"/>
        <v>-8.275797709149367E-2</v>
      </c>
      <c r="H84" s="14">
        <f t="shared" si="38"/>
        <v>-2.8657675982109724E-2</v>
      </c>
      <c r="I84" s="14">
        <f t="shared" si="39"/>
        <v>0.85775232300575721</v>
      </c>
      <c r="J84" s="14">
        <f t="shared" si="40"/>
        <v>0.74964363292189462</v>
      </c>
      <c r="K84" s="14">
        <f t="shared" si="41"/>
        <v>4.1879016495471134E-2</v>
      </c>
      <c r="M84" s="24"/>
      <c r="N84" s="14">
        <f>C89</f>
        <v>1.6169394089559219</v>
      </c>
      <c r="O84" s="14">
        <f>E89</f>
        <v>0.32757587166400731</v>
      </c>
      <c r="P84" s="14">
        <f>G89</f>
        <v>2.4360840406538653</v>
      </c>
      <c r="Q84" s="29"/>
    </row>
    <row r="85" spans="1:17" ht="16.5" thickBot="1" x14ac:dyDescent="0.3">
      <c r="B85" s="14">
        <f>'Исходные данные'!B10</f>
        <v>0.89400000000000002</v>
      </c>
      <c r="C85" s="14">
        <f>'Исходные данные'!H10</f>
        <v>0.1976244200542796</v>
      </c>
      <c r="D85" s="14">
        <f>'Исходные данные'!I10</f>
        <v>1.5052185666234212</v>
      </c>
      <c r="E85" s="14">
        <f t="shared" si="36"/>
        <v>3.9055411401790349E-2</v>
      </c>
      <c r="F85" s="14">
        <f t="shared" si="36"/>
        <v>2.265682933307867</v>
      </c>
      <c r="G85" s="14">
        <f t="shared" si="37"/>
        <v>0.29746794628388767</v>
      </c>
      <c r="H85" s="14">
        <f t="shared" si="38"/>
        <v>0.17667623152852596</v>
      </c>
      <c r="I85" s="14">
        <f t="shared" si="39"/>
        <v>1.3456653985613387</v>
      </c>
      <c r="J85" s="14">
        <f t="shared" si="40"/>
        <v>0.51628354952787825</v>
      </c>
      <c r="K85" s="14">
        <f t="shared" si="41"/>
        <v>0.14266971695725883</v>
      </c>
      <c r="M85" s="25"/>
      <c r="N85" s="14">
        <f>D89</f>
        <v>18.176028653046032</v>
      </c>
      <c r="O85" s="14">
        <f>G89</f>
        <v>2.4360840406538653</v>
      </c>
      <c r="P85" s="14">
        <f>F89</f>
        <v>27.561479598991021</v>
      </c>
      <c r="Q85" s="30"/>
    </row>
    <row r="86" spans="1:17" ht="15.75" x14ac:dyDescent="0.25">
      <c r="B86" s="14">
        <f>'Исходные данные'!B11</f>
        <v>0.9</v>
      </c>
      <c r="C86" s="14">
        <f>'Исходные данные'!H11</f>
        <v>0.20197991360877321</v>
      </c>
      <c r="D86" s="14">
        <f>'Исходные данные'!I11</f>
        <v>1.4552752205520154</v>
      </c>
      <c r="E86" s="14">
        <f t="shared" si="36"/>
        <v>4.0795885501407489E-2</v>
      </c>
      <c r="F86" s="14">
        <f t="shared" si="36"/>
        <v>2.1178259675527169</v>
      </c>
      <c r="G86" s="14">
        <f t="shared" si="37"/>
        <v>0.29393636332408446</v>
      </c>
      <c r="H86" s="14">
        <f t="shared" si="38"/>
        <v>0.18178192224789588</v>
      </c>
      <c r="I86" s="14">
        <f t="shared" si="39"/>
        <v>1.3097476984968139</v>
      </c>
      <c r="J86" s="14">
        <f t="shared" si="40"/>
        <v>0.52895830969434887</v>
      </c>
      <c r="K86" s="14">
        <f t="shared" si="41"/>
        <v>0.13767193594487473</v>
      </c>
    </row>
    <row r="87" spans="1:17" ht="16.5" thickBot="1" x14ac:dyDescent="0.3">
      <c r="B87" s="14">
        <f>'Исходные данные'!B12</f>
        <v>0.93200000000000005</v>
      </c>
      <c r="C87" s="14">
        <f>'Исходные данные'!H12</f>
        <v>0.21523617463444888</v>
      </c>
      <c r="D87" s="14">
        <f>'Исходные данные'!I12</f>
        <v>1.5635963532052795</v>
      </c>
      <c r="E87" s="14">
        <f t="shared" si="36"/>
        <v>4.6326610871270976E-2</v>
      </c>
      <c r="F87" s="14">
        <f t="shared" si="36"/>
        <v>2.444833555756849</v>
      </c>
      <c r="G87" s="14">
        <f t="shared" si="37"/>
        <v>0.33654249773627892</v>
      </c>
      <c r="H87" s="14">
        <f t="shared" si="38"/>
        <v>0.20060011475930636</v>
      </c>
      <c r="I87" s="14">
        <f t="shared" si="39"/>
        <v>1.4572718011873205</v>
      </c>
      <c r="J87" s="14">
        <f t="shared" si="40"/>
        <v>0.47815583315322541</v>
      </c>
      <c r="K87" s="14">
        <f t="shared" si="41"/>
        <v>0.20597452778084302</v>
      </c>
      <c r="M87" s="31" t="s">
        <v>24</v>
      </c>
      <c r="N87" s="31" t="s">
        <v>14</v>
      </c>
      <c r="O87" s="31" t="s">
        <v>25</v>
      </c>
      <c r="P87" s="31" t="s">
        <v>15</v>
      </c>
    </row>
    <row r="88" spans="1:17" ht="16.5" thickBot="1" x14ac:dyDescent="0.3">
      <c r="B88" s="14">
        <f>'Исходные данные'!B13</f>
        <v>0.74</v>
      </c>
      <c r="C88" s="14">
        <f>'Исходные данные'!H13</f>
        <v>-3.1638386907570926E-2</v>
      </c>
      <c r="D88" s="14">
        <f>'Исходные данные'!I13</f>
        <v>1.4697085113450263</v>
      </c>
      <c r="E88" s="14">
        <f t="shared" si="36"/>
        <v>1.0009875261131553E-3</v>
      </c>
      <c r="F88" s="14">
        <f t="shared" si="36"/>
        <v>2.1600431083200133</v>
      </c>
      <c r="G88" s="14">
        <f t="shared" si="37"/>
        <v>-4.6499206523284035E-2</v>
      </c>
      <c r="H88" s="14">
        <f t="shared" si="38"/>
        <v>-2.3412406311602484E-2</v>
      </c>
      <c r="I88" s="14">
        <f t="shared" si="39"/>
        <v>1.0875842983953194</v>
      </c>
      <c r="J88" s="14">
        <f t="shared" si="40"/>
        <v>0.76389450918307145</v>
      </c>
      <c r="K88" s="14">
        <f>(B88-J88)*(B88-J88)</f>
        <v>5.7094756909988607E-4</v>
      </c>
      <c r="M88" s="15">
        <f>Q74/Q83</f>
        <v>1.2360063399914916</v>
      </c>
      <c r="N88" s="15">
        <f>Q77/Q83</f>
        <v>-1.0268528946446693</v>
      </c>
      <c r="O88" s="15">
        <f>Q80/Q83</f>
        <v>-0.34333325015894139</v>
      </c>
      <c r="P88" s="15">
        <f>K89/COUNT(B77:B88)</f>
        <v>0.11674669144012213</v>
      </c>
    </row>
    <row r="89" spans="1:17" ht="16.5" thickBot="1" x14ac:dyDescent="0.3">
      <c r="A89" s="13" t="s">
        <v>10</v>
      </c>
      <c r="B89" s="15">
        <f>SUM(B77:B88)</f>
        <v>10.252000000000001</v>
      </c>
      <c r="C89" s="15">
        <f t="shared" ref="C89:I89" si="44">SUM(C77:C88)</f>
        <v>1.6169394089559219</v>
      </c>
      <c r="D89" s="15">
        <f t="shared" si="44"/>
        <v>18.176028653046032</v>
      </c>
      <c r="E89" s="15">
        <f t="shared" si="44"/>
        <v>0.32757587166400731</v>
      </c>
      <c r="F89" s="15">
        <f t="shared" si="44"/>
        <v>27.561479598991021</v>
      </c>
      <c r="G89" s="15">
        <f t="shared" si="44"/>
        <v>2.4360840406538653</v>
      </c>
      <c r="H89" s="15">
        <f t="shared" si="44"/>
        <v>1.498530941545235</v>
      </c>
      <c r="I89" s="15">
        <f t="shared" si="44"/>
        <v>15.50441422983833</v>
      </c>
      <c r="J89" s="15">
        <f>SUM(J77:J88)</f>
        <v>6.9312821749141298</v>
      </c>
      <c r="K89" s="15">
        <f t="shared" ref="K89" si="45">SUM(K77:K88)</f>
        <v>1.4009602972814656</v>
      </c>
    </row>
    <row r="91" spans="1:17" ht="15.75" thickBot="1" x14ac:dyDescent="0.3">
      <c r="A91">
        <v>6</v>
      </c>
    </row>
    <row r="92" spans="1:17" ht="16.5" thickBot="1" x14ac:dyDescent="0.3">
      <c r="B92" s="5" t="s">
        <v>6</v>
      </c>
      <c r="C92" s="18"/>
      <c r="D92" s="6"/>
      <c r="E92" s="7" t="s">
        <v>7</v>
      </c>
      <c r="F92" s="8"/>
      <c r="G92" s="8"/>
      <c r="H92" s="8"/>
      <c r="I92" s="8"/>
      <c r="J92" s="8"/>
      <c r="K92" s="9"/>
      <c r="M92" s="23" t="s">
        <v>11</v>
      </c>
      <c r="N92" s="14">
        <f>C107</f>
        <v>1.6169394089559219</v>
      </c>
      <c r="O92" s="14">
        <f>D107</f>
        <v>10.829610762024778</v>
      </c>
      <c r="P92" s="27">
        <f>B107</f>
        <v>10.252000000000001</v>
      </c>
      <c r="Q92" s="28">
        <f>(N92*O93*P94+O92*N94*P93+N93*O94*P92)-(P92*O93*N94+O92*N93*P94+P93*O94*N92)</f>
        <v>-4.6203709226091405E-3</v>
      </c>
    </row>
    <row r="93" spans="1:17" ht="16.5" thickBot="1" x14ac:dyDescent="0.3">
      <c r="B93" s="10"/>
      <c r="C93" s="19"/>
      <c r="D93" s="11"/>
      <c r="E93" s="20" t="s">
        <v>8</v>
      </c>
      <c r="F93" s="21"/>
      <c r="G93" s="21"/>
      <c r="H93" s="21"/>
      <c r="I93" s="22"/>
      <c r="J93" s="7" t="s">
        <v>9</v>
      </c>
      <c r="K93" s="9"/>
      <c r="L93" s="16"/>
      <c r="M93" s="24"/>
      <c r="N93" s="14">
        <f>E107</f>
        <v>0.32757587166400731</v>
      </c>
      <c r="O93" s="14">
        <f>G107</f>
        <v>1.5768635299786768</v>
      </c>
      <c r="P93" s="27">
        <f>H107</f>
        <v>1.498530941545235</v>
      </c>
      <c r="Q93" s="29"/>
    </row>
    <row r="94" spans="1:17" ht="21" thickBot="1" x14ac:dyDescent="0.4">
      <c r="B94" s="12" t="s">
        <v>0</v>
      </c>
      <c r="C94" s="12" t="s">
        <v>46</v>
      </c>
      <c r="D94" s="12" t="s">
        <v>48</v>
      </c>
      <c r="E94" s="33" t="s">
        <v>27</v>
      </c>
      <c r="F94" s="33" t="s">
        <v>32</v>
      </c>
      <c r="G94" s="33" t="s">
        <v>42</v>
      </c>
      <c r="H94" s="33" t="s">
        <v>29</v>
      </c>
      <c r="I94" s="33" t="s">
        <v>34</v>
      </c>
      <c r="J94" s="34" t="s">
        <v>43</v>
      </c>
      <c r="K94" s="33" t="s">
        <v>44</v>
      </c>
      <c r="L94" s="16"/>
      <c r="M94" s="25"/>
      <c r="N94" s="14">
        <f>G107</f>
        <v>1.5768635299786768</v>
      </c>
      <c r="O94" s="14">
        <f>F107</f>
        <v>9.9032200200629052</v>
      </c>
      <c r="P94" s="27">
        <f>I107</f>
        <v>9.385803519716875</v>
      </c>
      <c r="Q94" s="30"/>
    </row>
    <row r="95" spans="1:17" ht="15.75" x14ac:dyDescent="0.25">
      <c r="B95" s="14">
        <f>'Исходные данные'!B2</f>
        <v>0.90400000000000003</v>
      </c>
      <c r="C95" s="14">
        <f>'Исходные данные'!H2</f>
        <v>0.190658376965537</v>
      </c>
      <c r="D95" s="14">
        <f>'Исходные данные'!J2</f>
        <v>0.95524397920655613</v>
      </c>
      <c r="E95" s="14">
        <f>C95*C95</f>
        <v>3.6350616707132813E-2</v>
      </c>
      <c r="F95" s="14">
        <f>D95*D95</f>
        <v>0.91249105981037548</v>
      </c>
      <c r="G95" s="14">
        <f>C95*D95</f>
        <v>0.18212526668162315</v>
      </c>
      <c r="H95" s="14">
        <f>B95*C95</f>
        <v>0.17235517277684545</v>
      </c>
      <c r="I95" s="14">
        <f>B95*D95</f>
        <v>0.86354055720272671</v>
      </c>
      <c r="J95" s="14">
        <f>$M$106+$N$106*C95+$O$106*D95</f>
        <v>1.3834284789320557</v>
      </c>
      <c r="K95" s="14">
        <f>(B95-J95)*(B95-J95)</f>
        <v>0.22985166641110452</v>
      </c>
      <c r="M95" s="23" t="s">
        <v>12</v>
      </c>
      <c r="N95" s="14">
        <f>COUNT(B95:B106)</f>
        <v>12</v>
      </c>
      <c r="O95" s="14">
        <f>D107</f>
        <v>10.829610762024778</v>
      </c>
      <c r="P95" s="14">
        <f>B107</f>
        <v>10.252000000000001</v>
      </c>
      <c r="Q95" s="28">
        <f>(N95*O96*P97+O95*N97*P96+N96*O97*P95)-(P95*O96*N97+O95*N96*P97+P96*O97*N95)</f>
        <v>6.2292966669019734E-3</v>
      </c>
    </row>
    <row r="96" spans="1:17" ht="15.75" x14ac:dyDescent="0.25">
      <c r="B96" s="14">
        <f>'Исходные данные'!B3</f>
        <v>0.92200000000000004</v>
      </c>
      <c r="C96" s="14">
        <f>'Исходные данные'!H3</f>
        <v>0.20012848552330764</v>
      </c>
      <c r="D96" s="14">
        <f>'Исходные данные'!J3</f>
        <v>0.97585181050301584</v>
      </c>
      <c r="E96" s="14">
        <f t="shared" ref="E96:F106" si="46">C96*C96</f>
        <v>4.0051410717852759E-2</v>
      </c>
      <c r="F96" s="14">
        <f t="shared" si="46"/>
        <v>0.95228675606201396</v>
      </c>
      <c r="G96" s="14">
        <f t="shared" ref="G96:G106" si="47">C96*D96</f>
        <v>0.19529574493114635</v>
      </c>
      <c r="H96" s="14">
        <f t="shared" ref="H96:H106" si="48">B96*C96</f>
        <v>0.18451846365248967</v>
      </c>
      <c r="I96" s="14">
        <f t="shared" ref="I96:I106" si="49">B96*D96</f>
        <v>0.89973536928378062</v>
      </c>
      <c r="J96" s="14">
        <f t="shared" ref="J96:J106" si="50">$M$106+$N$106*C96+$O$106*D96</f>
        <v>1.4404427644781606</v>
      </c>
      <c r="K96" s="14">
        <f t="shared" ref="K96:K106" si="51">(B96-J96)*(B96-J96)</f>
        <v>0.26878290003975741</v>
      </c>
      <c r="M96" s="24"/>
      <c r="N96" s="14">
        <f>C107</f>
        <v>1.6169394089559219</v>
      </c>
      <c r="O96" s="14">
        <f>G107</f>
        <v>1.5768635299786768</v>
      </c>
      <c r="P96" s="14">
        <f>H107</f>
        <v>1.498530941545235</v>
      </c>
      <c r="Q96" s="29"/>
    </row>
    <row r="97" spans="1:17" ht="16.5" thickBot="1" x14ac:dyDescent="0.3">
      <c r="B97" s="14">
        <f>'Исходные данные'!B4</f>
        <v>0.76300000000000001</v>
      </c>
      <c r="C97" s="14">
        <f>'Исходные данные'!H4</f>
        <v>2.066879355199891E-3</v>
      </c>
      <c r="D97" s="14">
        <f>'Исходные данные'!J4</f>
        <v>0.7719197682850808</v>
      </c>
      <c r="E97" s="14">
        <f t="shared" si="46"/>
        <v>4.2719902689515168E-6</v>
      </c>
      <c r="F97" s="14">
        <f t="shared" si="46"/>
        <v>0.59586012866929283</v>
      </c>
      <c r="G97" s="14">
        <f t="shared" si="47"/>
        <v>1.595465032939117E-3</v>
      </c>
      <c r="H97" s="14">
        <f t="shared" si="48"/>
        <v>1.5770289480175168E-3</v>
      </c>
      <c r="I97" s="14">
        <f t="shared" si="49"/>
        <v>0.58897478320151664</v>
      </c>
      <c r="J97" s="14">
        <f t="shared" si="50"/>
        <v>0.74350218529697942</v>
      </c>
      <c r="K97" s="14">
        <f t="shared" si="51"/>
        <v>3.8016477819332586E-4</v>
      </c>
      <c r="L97" s="16"/>
      <c r="M97" s="25"/>
      <c r="N97" s="14">
        <f>D107</f>
        <v>10.829610762024778</v>
      </c>
      <c r="O97" s="14">
        <f>F107</f>
        <v>9.9032200200629052</v>
      </c>
      <c r="P97" s="14">
        <f>I107</f>
        <v>9.385803519716875</v>
      </c>
      <c r="Q97" s="30"/>
    </row>
    <row r="98" spans="1:17" ht="15.75" x14ac:dyDescent="0.25">
      <c r="B98" s="14">
        <f>'Исходные данные'!B5</f>
        <v>0.92300000000000004</v>
      </c>
      <c r="C98" s="14">
        <f>'Исходные данные'!H5</f>
        <v>0.18436815902860393</v>
      </c>
      <c r="D98" s="14">
        <f>'Исходные данные'!J5</f>
        <v>0.95081605426183846</v>
      </c>
      <c r="E98" s="14">
        <f t="shared" si="46"/>
        <v>3.3991618063596588E-2</v>
      </c>
      <c r="F98" s="14">
        <f t="shared" si="46"/>
        <v>0.90405116904205129</v>
      </c>
      <c r="G98" s="14">
        <f t="shared" si="47"/>
        <v>0.17530020549909633</v>
      </c>
      <c r="H98" s="14">
        <f t="shared" si="48"/>
        <v>0.17017181078340143</v>
      </c>
      <c r="I98" s="14">
        <f t="shared" si="49"/>
        <v>0.87760321808367692</v>
      </c>
      <c r="J98" s="14">
        <f t="shared" si="50"/>
        <v>1.365764889873277</v>
      </c>
      <c r="K98" s="14">
        <f t="shared" si="51"/>
        <v>0.19604074770449512</v>
      </c>
      <c r="M98" s="23" t="s">
        <v>23</v>
      </c>
      <c r="N98" s="14">
        <f>COUNT(B95:B106)</f>
        <v>12</v>
      </c>
      <c r="O98" s="14">
        <f>C107</f>
        <v>1.6169394089559219</v>
      </c>
      <c r="P98" s="14">
        <f>B107</f>
        <v>10.252000000000001</v>
      </c>
      <c r="Q98" s="28">
        <f t="shared" ref="Q98" si="52">(N98*O99*P100+O98*N100*P99+N99*O100*P98)-(P98*O99*N100+O98*N99*P100+P99*O100*N98)</f>
        <v>1.0685605307159562E-2</v>
      </c>
    </row>
    <row r="99" spans="1:17" ht="15.75" x14ac:dyDescent="0.25">
      <c r="B99" s="14">
        <f>'Исходные данные'!B6</f>
        <v>0.91800000000000004</v>
      </c>
      <c r="C99" s="14">
        <f>'Исходные данные'!H6</f>
        <v>0.1533567385970569</v>
      </c>
      <c r="D99" s="14">
        <f>'Исходные данные'!J6</f>
        <v>0.94862987807078825</v>
      </c>
      <c r="E99" s="14">
        <f t="shared" si="46"/>
        <v>2.351828927312604E-2</v>
      </c>
      <c r="F99" s="14">
        <f t="shared" si="46"/>
        <v>0.89989864556859855</v>
      </c>
      <c r="G99" s="14">
        <f t="shared" si="47"/>
        <v>0.14547878423665983</v>
      </c>
      <c r="H99" s="14">
        <f t="shared" si="48"/>
        <v>0.14078148603209822</v>
      </c>
      <c r="I99" s="14">
        <f t="shared" si="49"/>
        <v>0.87084222806898359</v>
      </c>
      <c r="J99" s="14">
        <f t="shared" si="50"/>
        <v>1.3215460389908478</v>
      </c>
      <c r="K99" s="14">
        <f t="shared" si="51"/>
        <v>0.16284940558520281</v>
      </c>
      <c r="M99" s="24"/>
      <c r="N99" s="14">
        <f>C107</f>
        <v>1.6169394089559219</v>
      </c>
      <c r="O99" s="14">
        <f>E107</f>
        <v>0.32757587166400731</v>
      </c>
      <c r="P99" s="14">
        <f>H107</f>
        <v>1.498530941545235</v>
      </c>
      <c r="Q99" s="29"/>
    </row>
    <row r="100" spans="1:17" ht="16.5" thickBot="1" x14ac:dyDescent="0.3">
      <c r="B100" s="14">
        <f>'Исходные данные'!B7</f>
        <v>0.90600000000000003</v>
      </c>
      <c r="C100" s="14">
        <f>'Исходные данные'!H7</f>
        <v>0.19269958541319854</v>
      </c>
      <c r="D100" s="14">
        <f>'Исходные данные'!J7</f>
        <v>0.9561089018822756</v>
      </c>
      <c r="E100" s="14">
        <f t="shared" si="46"/>
        <v>3.7133130218418596E-2</v>
      </c>
      <c r="F100" s="14">
        <f t="shared" si="46"/>
        <v>0.91414423225853092</v>
      </c>
      <c r="G100" s="14">
        <f t="shared" si="47"/>
        <v>0.18424178900258303</v>
      </c>
      <c r="H100" s="14">
        <f t="shared" si="48"/>
        <v>0.17458582438435788</v>
      </c>
      <c r="I100" s="14">
        <f t="shared" si="49"/>
        <v>0.86623466510534175</v>
      </c>
      <c r="J100" s="14">
        <f t="shared" si="50"/>
        <v>1.3879123447414665</v>
      </c>
      <c r="K100" s="14">
        <f t="shared" si="51"/>
        <v>0.23223950801421805</v>
      </c>
      <c r="L100" s="16"/>
      <c r="M100" s="25"/>
      <c r="N100" s="14">
        <f>D107</f>
        <v>10.829610762024778</v>
      </c>
      <c r="O100" s="14">
        <f>G107</f>
        <v>1.5768635299786768</v>
      </c>
      <c r="P100" s="14">
        <f>I107</f>
        <v>9.385803519716875</v>
      </c>
      <c r="Q100" s="30"/>
    </row>
    <row r="101" spans="1:17" ht="15.75" x14ac:dyDescent="0.25">
      <c r="B101" s="14">
        <f>'Исходные данные'!B8</f>
        <v>0.90500000000000003</v>
      </c>
      <c r="C101" s="14">
        <f>'Исходные данные'!H8</f>
        <v>0.16304195439338032</v>
      </c>
      <c r="D101" s="14">
        <f>'Исходные данные'!J8</f>
        <v>0.92338786752177815</v>
      </c>
      <c r="E101" s="14">
        <f t="shared" si="46"/>
        <v>2.6582678892413107E-2</v>
      </c>
      <c r="F101" s="14">
        <f t="shared" si="46"/>
        <v>0.85264515388641693</v>
      </c>
      <c r="G101" s="14">
        <f t="shared" si="47"/>
        <v>0.15055096258388645</v>
      </c>
      <c r="H101" s="14">
        <f t="shared" si="48"/>
        <v>0.1475529687260092</v>
      </c>
      <c r="I101" s="14">
        <f t="shared" si="49"/>
        <v>0.83566602010720925</v>
      </c>
      <c r="J101" s="14">
        <f t="shared" si="50"/>
        <v>1.2787864216139666</v>
      </c>
      <c r="K101" s="14">
        <f t="shared" si="51"/>
        <v>0.13971628898297397</v>
      </c>
      <c r="M101" s="24" t="s">
        <v>13</v>
      </c>
      <c r="N101" s="14">
        <f>COUNT(B95:B106)</f>
        <v>12</v>
      </c>
      <c r="O101" s="14">
        <f>C107</f>
        <v>1.6169394089559219</v>
      </c>
      <c r="P101" s="14">
        <f>D107</f>
        <v>10.829610762024778</v>
      </c>
      <c r="Q101" s="28">
        <f t="shared" ref="Q101" si="53">(N101*O102*P103+O101*N103*P102+N102*O103*P101)-(P101*O102*N103+O101*N102*P103+P102*O103*N101)</f>
        <v>4.8970054517099015E-3</v>
      </c>
    </row>
    <row r="102" spans="1:17" ht="15.75" x14ac:dyDescent="0.25">
      <c r="B102" s="14">
        <f>'Исходные данные'!B9</f>
        <v>0.54500000000000004</v>
      </c>
      <c r="C102" s="14">
        <f>'Исходные данные'!H9</f>
        <v>-5.2582891710293067E-2</v>
      </c>
      <c r="D102" s="14">
        <f>'Исходные данные'!J9</f>
        <v>0.66100474649385865</v>
      </c>
      <c r="E102" s="14">
        <f t="shared" si="46"/>
        <v>2.7649605006164072E-3</v>
      </c>
      <c r="F102" s="14">
        <f t="shared" si="46"/>
        <v>0.43692727488741034</v>
      </c>
      <c r="G102" s="14">
        <f t="shared" si="47"/>
        <v>-3.475754100487629E-2</v>
      </c>
      <c r="H102" s="14">
        <f t="shared" si="48"/>
        <v>-2.8657675982109724E-2</v>
      </c>
      <c r="I102" s="14">
        <f t="shared" si="49"/>
        <v>0.36024758683915298</v>
      </c>
      <c r="J102" s="14">
        <f t="shared" si="50"/>
        <v>0.43195999950902464</v>
      </c>
      <c r="K102" s="14">
        <f t="shared" si="51"/>
        <v>1.277804171099972E-2</v>
      </c>
      <c r="M102" s="24"/>
      <c r="N102" s="14">
        <f>C107</f>
        <v>1.6169394089559219</v>
      </c>
      <c r="O102" s="14">
        <f>E107</f>
        <v>0.32757587166400731</v>
      </c>
      <c r="P102" s="14">
        <f>G107</f>
        <v>1.5768635299786768</v>
      </c>
      <c r="Q102" s="29"/>
    </row>
    <row r="103" spans="1:17" ht="16.5" thickBot="1" x14ac:dyDescent="0.3">
      <c r="B103" s="14">
        <f>'Исходные данные'!B10</f>
        <v>0.89400000000000002</v>
      </c>
      <c r="C103" s="14">
        <f>'Исходные данные'!H10</f>
        <v>0.1976244200542796</v>
      </c>
      <c r="D103" s="14">
        <f>'Исходные данные'!J10</f>
        <v>0.97049947354040389</v>
      </c>
      <c r="E103" s="14">
        <f t="shared" si="46"/>
        <v>3.9055411401790349E-2</v>
      </c>
      <c r="F103" s="14">
        <f t="shared" si="46"/>
        <v>0.94186922814220109</v>
      </c>
      <c r="G103" s="14">
        <f t="shared" si="47"/>
        <v>0.19179439562140599</v>
      </c>
      <c r="H103" s="14">
        <f t="shared" si="48"/>
        <v>0.17667623152852596</v>
      </c>
      <c r="I103" s="14">
        <f t="shared" si="49"/>
        <v>0.86762652934512108</v>
      </c>
      <c r="J103" s="14">
        <f t="shared" si="50"/>
        <v>1.4255782666434897</v>
      </c>
      <c r="K103" s="14">
        <f t="shared" si="51"/>
        <v>0.28257545356769709</v>
      </c>
      <c r="M103" s="25"/>
      <c r="N103" s="14">
        <f>D107</f>
        <v>10.829610762024778</v>
      </c>
      <c r="O103" s="14">
        <f>G107</f>
        <v>1.5768635299786768</v>
      </c>
      <c r="P103" s="14">
        <f>F107</f>
        <v>9.9032200200629052</v>
      </c>
      <c r="Q103" s="30"/>
    </row>
    <row r="104" spans="1:17" ht="15.75" x14ac:dyDescent="0.25">
      <c r="B104" s="14">
        <f>'Исходные данные'!B11</f>
        <v>0.9</v>
      </c>
      <c r="C104" s="14">
        <f>'Исходные данные'!H11</f>
        <v>0.20197991360877321</v>
      </c>
      <c r="D104" s="14">
        <f>'Исходные данные'!J11</f>
        <v>0.97090414859695495</v>
      </c>
      <c r="E104" s="14">
        <f t="shared" si="46"/>
        <v>4.0795885501407489E-2</v>
      </c>
      <c r="F104" s="14">
        <f t="shared" si="46"/>
        <v>0.94265486576277802</v>
      </c>
      <c r="G104" s="14">
        <f t="shared" si="47"/>
        <v>0.19610313605601246</v>
      </c>
      <c r="H104" s="14">
        <f t="shared" si="48"/>
        <v>0.18178192224789588</v>
      </c>
      <c r="I104" s="14">
        <f t="shared" si="49"/>
        <v>0.87381373373725946</v>
      </c>
      <c r="J104" s="14">
        <f t="shared" si="50"/>
        <v>1.4320017553906164</v>
      </c>
      <c r="K104" s="14">
        <f t="shared" si="51"/>
        <v>0.2830258677386972</v>
      </c>
    </row>
    <row r="105" spans="1:17" ht="16.5" thickBot="1" x14ac:dyDescent="0.3">
      <c r="B105" s="14">
        <f>'Исходные данные'!B12</f>
        <v>0.93200000000000005</v>
      </c>
      <c r="C105" s="14">
        <f>'Исходные данные'!H12</f>
        <v>0.21523617463444888</v>
      </c>
      <c r="D105" s="14">
        <f>'Исходные данные'!J12</f>
        <v>0.98978213454197561</v>
      </c>
      <c r="E105" s="14">
        <f t="shared" si="46"/>
        <v>4.6326610871270976E-2</v>
      </c>
      <c r="F105" s="14">
        <f t="shared" si="46"/>
        <v>0.97966867385846956</v>
      </c>
      <c r="G105" s="14">
        <f t="shared" si="47"/>
        <v>0.21303692036033425</v>
      </c>
      <c r="H105" s="14">
        <f t="shared" si="48"/>
        <v>0.20060011475930636</v>
      </c>
      <c r="I105" s="14">
        <f t="shared" si="49"/>
        <v>0.9224769493931213</v>
      </c>
      <c r="J105" s="14">
        <f t="shared" si="50"/>
        <v>1.4900576208024368</v>
      </c>
      <c r="K105" s="14">
        <f t="shared" si="51"/>
        <v>0.31142830813567624</v>
      </c>
      <c r="M105" s="31" t="s">
        <v>24</v>
      </c>
      <c r="N105" s="31" t="s">
        <v>14</v>
      </c>
      <c r="O105" s="31" t="s">
        <v>25</v>
      </c>
      <c r="P105" s="31" t="s">
        <v>15</v>
      </c>
    </row>
    <row r="106" spans="1:17" ht="16.5" thickBot="1" x14ac:dyDescent="0.3">
      <c r="B106" s="14">
        <f>'Исходные данные'!B13</f>
        <v>0.74</v>
      </c>
      <c r="C106" s="14">
        <f>'Исходные данные'!H13</f>
        <v>-3.1638386907570926E-2</v>
      </c>
      <c r="D106" s="14">
        <f>'Исходные данные'!J13</f>
        <v>0.75546199912025136</v>
      </c>
      <c r="E106" s="14">
        <f t="shared" si="46"/>
        <v>1.0009875261131553E-3</v>
      </c>
      <c r="F106" s="14">
        <f t="shared" si="46"/>
        <v>0.57072283211476671</v>
      </c>
      <c r="G106" s="14">
        <f t="shared" si="47"/>
        <v>-2.390159902213352E-2</v>
      </c>
      <c r="H106" s="14">
        <f t="shared" si="48"/>
        <v>-2.3412406311602484E-2</v>
      </c>
      <c r="I106" s="14">
        <f t="shared" si="49"/>
        <v>0.55904187934898597</v>
      </c>
      <c r="J106" s="14">
        <f t="shared" si="50"/>
        <v>0.6647149893005545</v>
      </c>
      <c r="K106" s="14">
        <f t="shared" si="51"/>
        <v>5.6678328360156216E-3</v>
      </c>
      <c r="M106" s="15">
        <f>Q92/Q101</f>
        <v>-0.94350945045320145</v>
      </c>
      <c r="N106" s="15">
        <f>Q95/Q101</f>
        <v>1.2720624325069665</v>
      </c>
      <c r="O106" s="15">
        <f>Q98/Q101</f>
        <v>2.1820693100164794</v>
      </c>
      <c r="P106" s="15">
        <f>K107/COUNT(B95:B106)</f>
        <v>0.17711134879208593</v>
      </c>
    </row>
    <row r="107" spans="1:17" ht="16.5" thickBot="1" x14ac:dyDescent="0.3">
      <c r="A107" s="13" t="s">
        <v>10</v>
      </c>
      <c r="B107" s="15">
        <f>SUM(B95:B106)</f>
        <v>10.252000000000001</v>
      </c>
      <c r="C107" s="15">
        <f t="shared" ref="C107:K107" si="54">SUM(C95:C106)</f>
        <v>1.6169394089559219</v>
      </c>
      <c r="D107" s="15">
        <f t="shared" si="54"/>
        <v>10.829610762024778</v>
      </c>
      <c r="E107" s="15">
        <f t="shared" si="54"/>
        <v>0.32757587166400731</v>
      </c>
      <c r="F107" s="15">
        <f t="shared" si="54"/>
        <v>9.9032200200629052</v>
      </c>
      <c r="G107" s="15">
        <f t="shared" si="54"/>
        <v>1.5768635299786768</v>
      </c>
      <c r="H107" s="15">
        <f t="shared" si="54"/>
        <v>1.498530941545235</v>
      </c>
      <c r="I107" s="15">
        <f t="shared" si="54"/>
        <v>9.385803519716875</v>
      </c>
      <c r="J107" s="15">
        <f t="shared" si="54"/>
        <v>14.365695755572876</v>
      </c>
      <c r="K107" s="15">
        <f t="shared" si="54"/>
        <v>2.1253361855050312</v>
      </c>
    </row>
    <row r="109" spans="1:17" ht="15.75" thickBot="1" x14ac:dyDescent="0.3">
      <c r="A109">
        <v>7</v>
      </c>
    </row>
    <row r="110" spans="1:17" ht="16.5" thickBot="1" x14ac:dyDescent="0.3">
      <c r="B110" s="5" t="s">
        <v>6</v>
      </c>
      <c r="C110" s="18"/>
      <c r="D110" s="6"/>
      <c r="E110" s="7" t="s">
        <v>7</v>
      </c>
      <c r="F110" s="8"/>
      <c r="G110" s="8"/>
      <c r="H110" s="8"/>
      <c r="I110" s="8"/>
      <c r="J110" s="8"/>
      <c r="K110" s="9"/>
      <c r="M110" s="23" t="s">
        <v>11</v>
      </c>
      <c r="N110" s="14">
        <f>C125</f>
        <v>1.6169394089559219</v>
      </c>
      <c r="O110" s="14">
        <f>D125</f>
        <v>10.313075385233695</v>
      </c>
      <c r="P110" s="27">
        <f>B125</f>
        <v>10.252000000000001</v>
      </c>
      <c r="Q110" s="28">
        <f>(N110*O111*P112+O110*N112*P111+N111*O112*P110)-(P110*O111*N112+O110*N111*P112+P111*O112*N110)</f>
        <v>-3.6393163243388926E-3</v>
      </c>
    </row>
    <row r="111" spans="1:17" ht="16.5" thickBot="1" x14ac:dyDescent="0.3">
      <c r="B111" s="10"/>
      <c r="C111" s="19"/>
      <c r="D111" s="11"/>
      <c r="E111" s="20" t="s">
        <v>8</v>
      </c>
      <c r="F111" s="21"/>
      <c r="G111" s="21"/>
      <c r="H111" s="21"/>
      <c r="I111" s="22"/>
      <c r="J111" s="7" t="s">
        <v>9</v>
      </c>
      <c r="K111" s="9"/>
      <c r="L111" s="16"/>
      <c r="M111" s="24"/>
      <c r="N111" s="14">
        <f>E125</f>
        <v>0.32757587166400731</v>
      </c>
      <c r="O111" s="14">
        <f>G125</f>
        <v>1.51280769588123</v>
      </c>
      <c r="P111" s="27">
        <f>H125</f>
        <v>1.498530941545235</v>
      </c>
      <c r="Q111" s="29"/>
    </row>
    <row r="112" spans="1:17" ht="21" thickBot="1" x14ac:dyDescent="0.4">
      <c r="B112" s="12" t="s">
        <v>0</v>
      </c>
      <c r="C112" s="37" t="s">
        <v>46</v>
      </c>
      <c r="D112" s="37" t="s">
        <v>49</v>
      </c>
      <c r="E112" s="33" t="s">
        <v>27</v>
      </c>
      <c r="F112" s="33" t="s">
        <v>32</v>
      </c>
      <c r="G112" s="33" t="s">
        <v>42</v>
      </c>
      <c r="H112" s="33" t="s">
        <v>29</v>
      </c>
      <c r="I112" s="33" t="s">
        <v>34</v>
      </c>
      <c r="J112" s="34" t="s">
        <v>43</v>
      </c>
      <c r="K112" s="33" t="s">
        <v>44</v>
      </c>
      <c r="L112" s="16"/>
      <c r="M112" s="25"/>
      <c r="N112" s="14">
        <f>G125</f>
        <v>1.51280769588123</v>
      </c>
      <c r="O112" s="14">
        <f>F125</f>
        <v>9.0066413414777617</v>
      </c>
      <c r="P112" s="27">
        <f>I125</f>
        <v>8.9512826989537935</v>
      </c>
      <c r="Q112" s="30"/>
    </row>
    <row r="113" spans="1:17" ht="15.75" x14ac:dyDescent="0.25">
      <c r="B113" s="14">
        <f>'Исходные данные'!B2</f>
        <v>0.90400000000000003</v>
      </c>
      <c r="C113" s="38">
        <f>'Исходные данные'!H2</f>
        <v>0.190658376965537</v>
      </c>
      <c r="D113" s="38">
        <f>'Исходные данные'!K2</f>
        <v>0.90746343046101585</v>
      </c>
      <c r="E113" s="14">
        <f>C113*C113</f>
        <v>3.6350616707132813E-2</v>
      </c>
      <c r="F113" s="14">
        <f>D113*D113</f>
        <v>0.823489877624075</v>
      </c>
      <c r="G113" s="14">
        <f>C113*D113</f>
        <v>0.17301550480727573</v>
      </c>
      <c r="H113" s="14">
        <f>B113*C113</f>
        <v>0.17235517277684545</v>
      </c>
      <c r="I113" s="14">
        <f>B113*D113</f>
        <v>0.82034694113675832</v>
      </c>
      <c r="J113" s="14">
        <f>$M$124+$N$124*C113+$O$124*D113</f>
        <v>1.2413238437253906</v>
      </c>
      <c r="K113" s="14">
        <f>(B113-J113)*(B113-J113)</f>
        <v>0.11378737554567174</v>
      </c>
      <c r="M113" s="23" t="s">
        <v>12</v>
      </c>
      <c r="N113" s="14">
        <f>COUNT(B113:B124)</f>
        <v>12</v>
      </c>
      <c r="O113" s="14">
        <f>D125</f>
        <v>10.313075385233695</v>
      </c>
      <c r="P113" s="14">
        <f>B125</f>
        <v>10.252000000000001</v>
      </c>
      <c r="Q113" s="28">
        <f>(N113*O114*P115+O113*N115*P114+N114*O115*P113)-(P113*O114*N115+O113*N114*P115+P114*O115*N113)</f>
        <v>6.1614708102410987E-3</v>
      </c>
    </row>
    <row r="114" spans="1:17" ht="15.75" x14ac:dyDescent="0.25">
      <c r="B114" s="14">
        <f>'Исходные данные'!B3</f>
        <v>0.92200000000000004</v>
      </c>
      <c r="C114" s="38">
        <f>'Исходные данные'!H3</f>
        <v>0.20012848552330764</v>
      </c>
      <c r="D114" s="38">
        <f>'Исходные данные'!K3</f>
        <v>0.93243738601549631</v>
      </c>
      <c r="E114" s="14">
        <f t="shared" ref="E114:E124" si="55">C114*C114</f>
        <v>4.0051410717852759E-2</v>
      </c>
      <c r="F114" s="14">
        <f t="shared" ref="F114:F124" si="56">D114*D114</f>
        <v>0.86943947883941164</v>
      </c>
      <c r="G114" s="14">
        <f t="shared" ref="G114:G124" si="57">C114*D114</f>
        <v>0.18660728190859308</v>
      </c>
      <c r="H114" s="14">
        <f t="shared" ref="H114:H124" si="58">B114*C114</f>
        <v>0.18451846365248967</v>
      </c>
      <c r="I114" s="14">
        <f t="shared" ref="I114:I124" si="59">B114*D114</f>
        <v>0.85970726990628765</v>
      </c>
      <c r="J114" s="14">
        <f t="shared" ref="J114:J124" si="60">$M$124+$N$124*C114+$O$124*D114</f>
        <v>1.2944690689771177</v>
      </c>
      <c r="K114" s="14">
        <f t="shared" ref="K114:K124" si="61">(B114-J114)*(B114-J114)</f>
        <v>0.13873320734468081</v>
      </c>
      <c r="M114" s="24"/>
      <c r="N114" s="14">
        <f>C125</f>
        <v>1.6169394089559219</v>
      </c>
      <c r="O114" s="14">
        <f>G125</f>
        <v>1.51280769588123</v>
      </c>
      <c r="P114" s="14">
        <f>H125</f>
        <v>1.498530941545235</v>
      </c>
      <c r="Q114" s="29"/>
    </row>
    <row r="115" spans="1:17" ht="16.5" thickBot="1" x14ac:dyDescent="0.3">
      <c r="B115" s="14">
        <f>'Исходные данные'!B4</f>
        <v>0.76300000000000001</v>
      </c>
      <c r="C115" s="38">
        <f>'Исходные данные'!H4</f>
        <v>2.066879355199891E-3</v>
      </c>
      <c r="D115" s="38">
        <f>'Исходные данные'!K4</f>
        <v>0.71886291196525531</v>
      </c>
      <c r="E115" s="14">
        <f t="shared" si="55"/>
        <v>4.2719902689515168E-6</v>
      </c>
      <c r="F115" s="14">
        <f t="shared" si="56"/>
        <v>0.51676388619916636</v>
      </c>
      <c r="G115" s="14">
        <f t="shared" si="57"/>
        <v>1.4858029119598629E-3</v>
      </c>
      <c r="H115" s="14">
        <f t="shared" si="58"/>
        <v>1.5770289480175168E-3</v>
      </c>
      <c r="I115" s="14">
        <f t="shared" si="59"/>
        <v>0.54849240182948977</v>
      </c>
      <c r="J115" s="14">
        <f t="shared" si="60"/>
        <v>0.73145019582233561</v>
      </c>
      <c r="K115" s="14">
        <f t="shared" si="61"/>
        <v>9.9539014364896997E-4</v>
      </c>
      <c r="L115" s="16"/>
      <c r="M115" s="25"/>
      <c r="N115" s="14">
        <f>D125</f>
        <v>10.313075385233695</v>
      </c>
      <c r="O115" s="14">
        <f>F125</f>
        <v>9.0066413414777617</v>
      </c>
      <c r="P115" s="14">
        <f>I125</f>
        <v>8.9512826989537935</v>
      </c>
      <c r="Q115" s="30"/>
    </row>
    <row r="116" spans="1:17" ht="15.75" x14ac:dyDescent="0.25">
      <c r="B116" s="14">
        <f>'Исходные данные'!B5</f>
        <v>0.92300000000000004</v>
      </c>
      <c r="C116" s="38">
        <f>'Исходные данные'!H5</f>
        <v>0.18436815902860393</v>
      </c>
      <c r="D116" s="38">
        <f>'Исходные данные'!K5</f>
        <v>0.91174440046305383</v>
      </c>
      <c r="E116" s="14">
        <f t="shared" si="55"/>
        <v>3.3991618063596588E-2</v>
      </c>
      <c r="F116" s="14">
        <f t="shared" si="56"/>
        <v>0.83127785177573343</v>
      </c>
      <c r="G116" s="14">
        <f t="shared" si="57"/>
        <v>0.16809663661801144</v>
      </c>
      <c r="H116" s="14">
        <f t="shared" si="58"/>
        <v>0.17017181078340143</v>
      </c>
      <c r="I116" s="14">
        <f t="shared" si="59"/>
        <v>0.84154008162739868</v>
      </c>
      <c r="J116" s="14">
        <f t="shared" si="60"/>
        <v>1.2430980586671105</v>
      </c>
      <c r="K116" s="14">
        <f t="shared" si="61"/>
        <v>0.10246276716245291</v>
      </c>
      <c r="M116" s="23" t="s">
        <v>23</v>
      </c>
      <c r="N116" s="14">
        <f>COUNT(B113:B124)</f>
        <v>12</v>
      </c>
      <c r="O116" s="14">
        <f>C125</f>
        <v>1.6169394089559219</v>
      </c>
      <c r="P116" s="14">
        <f>B125</f>
        <v>10.252000000000001</v>
      </c>
      <c r="Q116" s="28">
        <f t="shared" ref="Q116" si="62">(N116*O117*P118+O116*N118*P117+N117*O118*P116)-(P116*O117*N118+O116*N117*P118+P117*O118*N116)</f>
        <v>1.1808011073412672E-2</v>
      </c>
    </row>
    <row r="117" spans="1:17" ht="15.75" x14ac:dyDescent="0.25">
      <c r="B117" s="14">
        <f>'Исходные данные'!B6</f>
        <v>0.91800000000000004</v>
      </c>
      <c r="C117" s="38">
        <f>'Исходные данные'!H6</f>
        <v>0.1533567385970569</v>
      </c>
      <c r="D117" s="38">
        <f>'Исходные данные'!K6</f>
        <v>0.91160313553174976</v>
      </c>
      <c r="E117" s="14">
        <f t="shared" si="55"/>
        <v>2.351828927312604E-2</v>
      </c>
      <c r="F117" s="14">
        <f t="shared" si="56"/>
        <v>0.83102027671131773</v>
      </c>
      <c r="G117" s="14">
        <f t="shared" si="57"/>
        <v>0.13980048375999998</v>
      </c>
      <c r="H117" s="14">
        <f t="shared" si="58"/>
        <v>0.14078148603209822</v>
      </c>
      <c r="I117" s="14">
        <f t="shared" si="59"/>
        <v>0.83685167841814634</v>
      </c>
      <c r="J117" s="14">
        <f t="shared" si="60"/>
        <v>1.2140997836979521</v>
      </c>
      <c r="K117" s="14">
        <f t="shared" si="61"/>
        <v>8.767508190597402E-2</v>
      </c>
      <c r="M117" s="24"/>
      <c r="N117" s="14">
        <f>C125</f>
        <v>1.6169394089559219</v>
      </c>
      <c r="O117" s="14">
        <f>E125</f>
        <v>0.32757587166400731</v>
      </c>
      <c r="P117" s="14">
        <f>H125</f>
        <v>1.498530941545235</v>
      </c>
      <c r="Q117" s="29"/>
    </row>
    <row r="118" spans="1:17" ht="16.5" thickBot="1" x14ac:dyDescent="0.3">
      <c r="B118" s="14">
        <f>'Исходные данные'!B7</f>
        <v>0.90600000000000003</v>
      </c>
      <c r="C118" s="38">
        <f>'Исходные данные'!H7</f>
        <v>0.19269958541319854</v>
      </c>
      <c r="D118" s="38">
        <f>'Исходные данные'!K7</f>
        <v>0.91164606899126377</v>
      </c>
      <c r="E118" s="14">
        <f t="shared" si="55"/>
        <v>3.7133130218418596E-2</v>
      </c>
      <c r="F118" s="14">
        <f t="shared" si="56"/>
        <v>0.83109855510722408</v>
      </c>
      <c r="G118" s="14">
        <f t="shared" si="57"/>
        <v>0.17567381953818872</v>
      </c>
      <c r="H118" s="14">
        <f t="shared" si="58"/>
        <v>0.17458582438435788</v>
      </c>
      <c r="I118" s="14">
        <f t="shared" si="59"/>
        <v>0.82595133850608504</v>
      </c>
      <c r="J118" s="14">
        <f t="shared" si="60"/>
        <v>1.2506465312621795</v>
      </c>
      <c r="K118" s="14">
        <f t="shared" si="61"/>
        <v>0.11878123151105245</v>
      </c>
      <c r="L118" s="16"/>
      <c r="M118" s="25"/>
      <c r="N118" s="14">
        <f>D125</f>
        <v>10.313075385233695</v>
      </c>
      <c r="O118" s="14">
        <f>G125</f>
        <v>1.51280769588123</v>
      </c>
      <c r="P118" s="14">
        <f>I125</f>
        <v>8.9512826989537935</v>
      </c>
      <c r="Q118" s="30"/>
    </row>
    <row r="119" spans="1:17" ht="15.75" x14ac:dyDescent="0.25">
      <c r="B119" s="14">
        <f>'Исходные данные'!B8</f>
        <v>0.90500000000000003</v>
      </c>
      <c r="C119" s="38">
        <f>'Исходные данные'!H8</f>
        <v>0.16304195439338032</v>
      </c>
      <c r="D119" s="38">
        <f>'Исходные данные'!K8</f>
        <v>0.88045193787832954</v>
      </c>
      <c r="E119" s="14">
        <f t="shared" si="55"/>
        <v>2.6582678892413107E-2</v>
      </c>
      <c r="F119" s="14">
        <f t="shared" si="56"/>
        <v>0.77519561491370581</v>
      </c>
      <c r="G119" s="14">
        <f t="shared" si="57"/>
        <v>0.14355060470112194</v>
      </c>
      <c r="H119" s="14">
        <f t="shared" si="58"/>
        <v>0.1475529687260092</v>
      </c>
      <c r="I119" s="14">
        <f t="shared" si="59"/>
        <v>0.79680900377988828</v>
      </c>
      <c r="J119" s="14">
        <f t="shared" si="60"/>
        <v>1.1677374358871393</v>
      </c>
      <c r="K119" s="14">
        <f t="shared" si="61"/>
        <v>6.9030960216548615E-2</v>
      </c>
      <c r="M119" s="24" t="s">
        <v>13</v>
      </c>
      <c r="N119" s="14">
        <f>COUNT(B113:B124)</f>
        <v>12</v>
      </c>
      <c r="O119" s="14">
        <f>C125</f>
        <v>1.6169394089559219</v>
      </c>
      <c r="P119" s="14">
        <f>D125</f>
        <v>10.313075385233695</v>
      </c>
      <c r="Q119" s="28">
        <f t="shared" ref="Q119" si="63">(N119*O120*P121+O119*N121*P120+N120*O121*P119)-(P119*O120*N121+O119*N120*P121+P120*O121*N119)</f>
        <v>6.6467408785939597E-3</v>
      </c>
    </row>
    <row r="120" spans="1:17" ht="15.75" x14ac:dyDescent="0.25">
      <c r="B120" s="14">
        <f>'Исходные данные'!B9</f>
        <v>0.54500000000000004</v>
      </c>
      <c r="C120" s="38">
        <f>'Исходные данные'!H9</f>
        <v>-5.2582891710293067E-2</v>
      </c>
      <c r="D120" s="38">
        <f>'Исходные данные'!K9</f>
        <v>0.60545294049247489</v>
      </c>
      <c r="E120" s="14">
        <f t="shared" si="55"/>
        <v>2.7649605006164072E-3</v>
      </c>
      <c r="F120" s="14">
        <f t="shared" si="56"/>
        <v>0.36657326315098432</v>
      </c>
      <c r="G120" s="14">
        <f t="shared" si="57"/>
        <v>-3.1836466405594323E-2</v>
      </c>
      <c r="H120" s="14">
        <f t="shared" si="58"/>
        <v>-2.8657675982109724E-2</v>
      </c>
      <c r="I120" s="14">
        <f t="shared" si="59"/>
        <v>0.32997185256839884</v>
      </c>
      <c r="J120" s="14">
        <f t="shared" si="60"/>
        <v>0.47931622538434415</v>
      </c>
      <c r="K120" s="14">
        <f t="shared" si="61"/>
        <v>4.3143582477602809E-3</v>
      </c>
      <c r="M120" s="24"/>
      <c r="N120" s="14">
        <f>C125</f>
        <v>1.6169394089559219</v>
      </c>
      <c r="O120" s="14">
        <f>E125</f>
        <v>0.32757587166400731</v>
      </c>
      <c r="P120" s="14">
        <f>G125</f>
        <v>1.51280769588123</v>
      </c>
      <c r="Q120" s="29"/>
    </row>
    <row r="121" spans="1:17" ht="16.5" thickBot="1" x14ac:dyDescent="0.3">
      <c r="B121" s="14">
        <f>'Исходные данные'!B10</f>
        <v>0.89400000000000002</v>
      </c>
      <c r="C121" s="38">
        <f>'Исходные данные'!H10</f>
        <v>0.1976244200542796</v>
      </c>
      <c r="D121" s="38">
        <f>'Исходные данные'!K10</f>
        <v>0.9283844711639947</v>
      </c>
      <c r="E121" s="14">
        <f t="shared" si="55"/>
        <v>3.9055411401790349E-2</v>
      </c>
      <c r="F121" s="14">
        <f t="shared" si="56"/>
        <v>0.86189772629845007</v>
      </c>
      <c r="G121" s="14">
        <f t="shared" si="57"/>
        <v>0.18347144270118351</v>
      </c>
      <c r="H121" s="14">
        <f t="shared" si="58"/>
        <v>0.17667623152852596</v>
      </c>
      <c r="I121" s="14">
        <f t="shared" si="59"/>
        <v>0.82997571722061125</v>
      </c>
      <c r="J121" s="14">
        <f t="shared" si="60"/>
        <v>1.2849477726160257</v>
      </c>
      <c r="K121" s="14">
        <f t="shared" si="61"/>
        <v>0.15284016091343169</v>
      </c>
      <c r="M121" s="25"/>
      <c r="N121" s="14">
        <f>D125</f>
        <v>10.313075385233695</v>
      </c>
      <c r="O121" s="14">
        <f>G125</f>
        <v>1.51280769588123</v>
      </c>
      <c r="P121" s="14">
        <f>F125</f>
        <v>9.0066413414777617</v>
      </c>
      <c r="Q121" s="30"/>
    </row>
    <row r="122" spans="1:17" ht="15.75" x14ac:dyDescent="0.25">
      <c r="B122" s="14">
        <f>'Исходные данные'!B11</f>
        <v>0.9</v>
      </c>
      <c r="C122" s="38">
        <f>'Исходные данные'!H11</f>
        <v>0.20197991360877321</v>
      </c>
      <c r="D122" s="38">
        <f>'Исходные данные'!K11</f>
        <v>0.93266959601695365</v>
      </c>
      <c r="E122" s="14">
        <f t="shared" si="55"/>
        <v>4.0795885501407489E-2</v>
      </c>
      <c r="F122" s="14">
        <f t="shared" si="56"/>
        <v>0.86987257533442752</v>
      </c>
      <c r="G122" s="14">
        <f t="shared" si="57"/>
        <v>0.18838052442903372</v>
      </c>
      <c r="H122" s="14">
        <f t="shared" si="58"/>
        <v>0.18178192224789588</v>
      </c>
      <c r="I122" s="14">
        <f t="shared" si="59"/>
        <v>0.83940263641525825</v>
      </c>
      <c r="J122" s="14">
        <f t="shared" si="60"/>
        <v>1.296597850380345</v>
      </c>
      <c r="K122" s="14">
        <f t="shared" si="61"/>
        <v>0.15728985492631053</v>
      </c>
    </row>
    <row r="123" spans="1:17" ht="16.5" thickBot="1" x14ac:dyDescent="0.3">
      <c r="B123" s="14">
        <f>'Исходные данные'!B12</f>
        <v>0.93200000000000005</v>
      </c>
      <c r="C123" s="38">
        <f>'Исходные данные'!H12</f>
        <v>0.21523617463444888</v>
      </c>
      <c r="D123" s="38">
        <f>'Исходные данные'!K12</f>
        <v>0.96191686936162513</v>
      </c>
      <c r="E123" s="14">
        <f t="shared" si="55"/>
        <v>4.6326610871270976E-2</v>
      </c>
      <c r="F123" s="14">
        <f t="shared" si="56"/>
        <v>0.92528406356246973</v>
      </c>
      <c r="G123" s="14">
        <f t="shared" si="57"/>
        <v>0.20703930727774109</v>
      </c>
      <c r="H123" s="14">
        <f t="shared" si="58"/>
        <v>0.20060011475930636</v>
      </c>
      <c r="I123" s="14">
        <f t="shared" si="59"/>
        <v>0.89650652224503469</v>
      </c>
      <c r="J123" s="14">
        <f t="shared" si="60"/>
        <v>1.3608444037940504</v>
      </c>
      <c r="K123" s="14">
        <f t="shared" si="61"/>
        <v>0.18390752266547447</v>
      </c>
      <c r="M123" s="35" t="s">
        <v>24</v>
      </c>
      <c r="N123" s="35" t="s">
        <v>14</v>
      </c>
      <c r="O123" s="35" t="s">
        <v>25</v>
      </c>
      <c r="P123" s="35" t="s">
        <v>15</v>
      </c>
    </row>
    <row r="124" spans="1:17" ht="16.5" thickBot="1" x14ac:dyDescent="0.3">
      <c r="B124" s="14">
        <f>'Исходные данные'!B13</f>
        <v>0.74</v>
      </c>
      <c r="C124" s="38">
        <f>'Исходные данные'!H13</f>
        <v>-3.1638386907570926E-2</v>
      </c>
      <c r="D124" s="38">
        <f>'Исходные данные'!K13</f>
        <v>0.7104422368924832</v>
      </c>
      <c r="E124" s="14">
        <f t="shared" si="55"/>
        <v>1.0009875261131553E-3</v>
      </c>
      <c r="F124" s="14">
        <f t="shared" si="56"/>
        <v>0.50472817196079522</v>
      </c>
      <c r="G124" s="14">
        <f t="shared" si="57"/>
        <v>-2.2477246366284544E-2</v>
      </c>
      <c r="H124" s="14">
        <f t="shared" si="58"/>
        <v>-2.3412406311602484E-2</v>
      </c>
      <c r="I124" s="14">
        <f t="shared" si="59"/>
        <v>0.52572725530043751</v>
      </c>
      <c r="J124" s="14">
        <f t="shared" si="60"/>
        <v>0.68524628260474474</v>
      </c>
      <c r="K124" s="14">
        <f t="shared" si="61"/>
        <v>2.9979695685994775E-3</v>
      </c>
      <c r="M124" s="36">
        <f>Q110/Q119</f>
        <v>-0.54753395548477402</v>
      </c>
      <c r="N124" s="36">
        <f>Q113/Q119</f>
        <v>0.92699127629366618</v>
      </c>
      <c r="O124" s="36">
        <f>Q116/Q119</f>
        <v>1.7765114195200158</v>
      </c>
      <c r="P124" s="36">
        <f>K125/COUNT(B113:B124)</f>
        <v>9.4401323345967167E-2</v>
      </c>
    </row>
    <row r="125" spans="1:17" ht="16.5" thickBot="1" x14ac:dyDescent="0.3">
      <c r="A125" s="13" t="s">
        <v>10</v>
      </c>
      <c r="B125" s="15">
        <f>SUM(B113:B124)</f>
        <v>10.252000000000001</v>
      </c>
      <c r="C125" s="36">
        <f t="shared" ref="C125" si="64">SUM(C113:C124)</f>
        <v>1.6169394089559219</v>
      </c>
      <c r="D125" s="36">
        <f t="shared" ref="D125" si="65">SUM(D113:D124)</f>
        <v>10.313075385233695</v>
      </c>
      <c r="E125" s="15">
        <f t="shared" ref="E125" si="66">SUM(E113:E124)</f>
        <v>0.32757587166400731</v>
      </c>
      <c r="F125" s="15">
        <f t="shared" ref="F125" si="67">SUM(F113:F124)</f>
        <v>9.0066413414777617</v>
      </c>
      <c r="G125" s="15">
        <f t="shared" ref="G125" si="68">SUM(G113:G124)</f>
        <v>1.51280769588123</v>
      </c>
      <c r="H125" s="15">
        <f t="shared" ref="H125" si="69">SUM(H113:H124)</f>
        <v>1.498530941545235</v>
      </c>
      <c r="I125" s="15">
        <f t="shared" ref="I125" si="70">SUM(I113:I124)</f>
        <v>8.9512826989537935</v>
      </c>
      <c r="J125" s="15">
        <f t="shared" ref="J125" si="71">SUM(J113:J124)</f>
        <v>13.249777452818737</v>
      </c>
      <c r="K125" s="15">
        <f t="shared" ref="K125" si="72">SUM(K113:K124)</f>
        <v>1.1328158801516059</v>
      </c>
    </row>
    <row r="127" spans="1:17" ht="15.75" thickBot="1" x14ac:dyDescent="0.3">
      <c r="A127">
        <v>8</v>
      </c>
    </row>
    <row r="128" spans="1:17" ht="16.5" thickBot="1" x14ac:dyDescent="0.3">
      <c r="B128" s="5" t="s">
        <v>6</v>
      </c>
      <c r="C128" s="18"/>
      <c r="D128" s="6"/>
      <c r="E128" s="7" t="s">
        <v>7</v>
      </c>
      <c r="F128" s="8"/>
      <c r="G128" s="8"/>
      <c r="H128" s="8"/>
      <c r="I128" s="8"/>
      <c r="J128" s="8"/>
      <c r="K128" s="9"/>
      <c r="M128" s="23" t="s">
        <v>11</v>
      </c>
      <c r="N128" s="14">
        <f>C143</f>
        <v>18.176028653046032</v>
      </c>
      <c r="O128" s="14">
        <f>D143</f>
        <v>10.829610762024778</v>
      </c>
      <c r="P128" s="27">
        <f>B143</f>
        <v>10.252000000000001</v>
      </c>
      <c r="Q128" s="28">
        <f>(N128*O129*P130+O128*N130*P129+N129*O130*P128)-(P128*O129*N130+O128*N129*P130+P129*O130*N128)</f>
        <v>7.5701958012359682E-3</v>
      </c>
    </row>
    <row r="129" spans="1:17" ht="16.5" thickBot="1" x14ac:dyDescent="0.3">
      <c r="B129" s="10"/>
      <c r="C129" s="19"/>
      <c r="D129" s="11"/>
      <c r="E129" s="20" t="s">
        <v>8</v>
      </c>
      <c r="F129" s="21"/>
      <c r="G129" s="21"/>
      <c r="H129" s="21"/>
      <c r="I129" s="22"/>
      <c r="J129" s="7" t="s">
        <v>9</v>
      </c>
      <c r="K129" s="9"/>
      <c r="L129" s="16"/>
      <c r="M129" s="24"/>
      <c r="N129" s="14">
        <f>E143</f>
        <v>27.561479598991021</v>
      </c>
      <c r="O129" s="14">
        <f>G143</f>
        <v>16.384093893521154</v>
      </c>
      <c r="P129" s="27">
        <f>H143</f>
        <v>15.50441422983833</v>
      </c>
      <c r="Q129" s="29"/>
    </row>
    <row r="130" spans="1:17" ht="21" thickBot="1" x14ac:dyDescent="0.4">
      <c r="B130" s="12" t="s">
        <v>0</v>
      </c>
      <c r="C130" s="12" t="s">
        <v>47</v>
      </c>
      <c r="D130" s="12" t="s">
        <v>48</v>
      </c>
      <c r="E130" s="33" t="s">
        <v>27</v>
      </c>
      <c r="F130" s="33" t="s">
        <v>32</v>
      </c>
      <c r="G130" s="33" t="s">
        <v>42</v>
      </c>
      <c r="H130" s="33" t="s">
        <v>29</v>
      </c>
      <c r="I130" s="33" t="s">
        <v>34</v>
      </c>
      <c r="J130" s="34" t="s">
        <v>43</v>
      </c>
      <c r="K130" s="33" t="s">
        <v>44</v>
      </c>
      <c r="L130" s="16"/>
      <c r="M130" s="25"/>
      <c r="N130" s="14">
        <f>G143</f>
        <v>16.384093893521154</v>
      </c>
      <c r="O130" s="14">
        <f>F143</f>
        <v>9.9032200200629052</v>
      </c>
      <c r="P130" s="27">
        <f>I143</f>
        <v>9.385803519716875</v>
      </c>
      <c r="Q130" s="30"/>
    </row>
    <row r="131" spans="1:17" ht="15.75" x14ac:dyDescent="0.25">
      <c r="B131" s="14">
        <f>'Исходные данные'!B2</f>
        <v>0.90400000000000003</v>
      </c>
      <c r="C131" s="14">
        <f>'Исходные данные'!I2</f>
        <v>1.5763812353967626</v>
      </c>
      <c r="D131" s="14">
        <f>'Исходные данные'!J2</f>
        <v>0.95524397920655613</v>
      </c>
      <c r="E131" s="14">
        <f>C131*C131</f>
        <v>2.4849777993110234</v>
      </c>
      <c r="F131" s="14">
        <f>D131*D131</f>
        <v>0.91249105981037548</v>
      </c>
      <c r="G131" s="14">
        <f>C131*D131</f>
        <v>1.5058286840469504</v>
      </c>
      <c r="H131" s="14">
        <f>B131*C131</f>
        <v>1.4250486367986734</v>
      </c>
      <c r="I131" s="14">
        <f>B131*D131</f>
        <v>0.86354055720272671</v>
      </c>
      <c r="J131" s="14">
        <f>$M$142+$N$142*C131+$O$142*D131</f>
        <v>1.3737951566587623</v>
      </c>
      <c r="K131" s="14">
        <f>(B131-J131)*(B131-J131)</f>
        <v>0.22070748922003097</v>
      </c>
      <c r="M131" s="23" t="s">
        <v>12</v>
      </c>
      <c r="N131" s="14">
        <f>COUNT(B131:B142)</f>
        <v>12</v>
      </c>
      <c r="O131" s="14">
        <f>D143</f>
        <v>10.829610762024778</v>
      </c>
      <c r="P131" s="14">
        <f>B143</f>
        <v>10.252000000000001</v>
      </c>
      <c r="Q131" s="28">
        <f>(N131*O132*P133+O131*N133*P132+N132*O133*P131)-(P131*O132*N133+O131*N132*P133+P132*O133*N131)</f>
        <v>6.5762664153226069E-3</v>
      </c>
    </row>
    <row r="132" spans="1:17" ht="15.75" x14ac:dyDescent="0.25">
      <c r="B132" s="14">
        <f>'Исходные данные'!B3</f>
        <v>0.92200000000000004</v>
      </c>
      <c r="C132" s="14">
        <f>'Исходные данные'!I3</f>
        <v>1.5217824221156726</v>
      </c>
      <c r="D132" s="14">
        <f>'Исходные данные'!J3</f>
        <v>0.97585181050301584</v>
      </c>
      <c r="E132" s="14">
        <f t="shared" ref="E132:E142" si="73">C132*C132</f>
        <v>2.315821740260243</v>
      </c>
      <c r="F132" s="14">
        <f t="shared" ref="F132:F142" si="74">D132*D132</f>
        <v>0.95228675606201396</v>
      </c>
      <c r="G132" s="14">
        <f t="shared" ref="G132:G142" si="75">C132*D132</f>
        <v>1.4850341318132438</v>
      </c>
      <c r="H132" s="14">
        <f t="shared" ref="H132:H142" si="76">B132*C132</f>
        <v>1.4030833931906501</v>
      </c>
      <c r="I132" s="14">
        <f t="shared" ref="I132:I142" si="77">B132*D132</f>
        <v>0.89973536928378062</v>
      </c>
      <c r="J132" s="14">
        <f t="shared" ref="J132:J142" si="78">$M$142+$N$142*C132+$O$142*D132</f>
        <v>1.3863197245498009</v>
      </c>
      <c r="K132" s="14">
        <f t="shared" ref="K132:K142" si="79">(B132-J132)*(B132-J132)</f>
        <v>0.21559280660600294</v>
      </c>
      <c r="M132" s="24"/>
      <c r="N132" s="14">
        <f>C143</f>
        <v>18.176028653046032</v>
      </c>
      <c r="O132" s="14">
        <f>G143</f>
        <v>16.384093893521154</v>
      </c>
      <c r="P132" s="14">
        <f>H143</f>
        <v>15.50441422983833</v>
      </c>
      <c r="Q132" s="29"/>
    </row>
    <row r="133" spans="1:17" ht="16.5" thickBot="1" x14ac:dyDescent="0.3">
      <c r="B133" s="14">
        <f>'Исходные данные'!B4</f>
        <v>0.76300000000000001</v>
      </c>
      <c r="C133" s="14">
        <f>'Исходные данные'!I4</f>
        <v>1.5836155580054945</v>
      </c>
      <c r="D133" s="14">
        <f>'Исходные данные'!J4</f>
        <v>0.7719197682850808</v>
      </c>
      <c r="E133" s="14">
        <f t="shared" si="73"/>
        <v>2.5078382355570534</v>
      </c>
      <c r="F133" s="14">
        <f t="shared" si="74"/>
        <v>0.59586012866929283</v>
      </c>
      <c r="G133" s="14">
        <f t="shared" si="75"/>
        <v>1.2224241545882502</v>
      </c>
      <c r="H133" s="14">
        <f t="shared" si="76"/>
        <v>1.2082986707581922</v>
      </c>
      <c r="I133" s="14">
        <f t="shared" si="77"/>
        <v>0.58897478320151664</v>
      </c>
      <c r="J133" s="14">
        <f t="shared" si="78"/>
        <v>1.1902001745711726</v>
      </c>
      <c r="K133" s="14">
        <f t="shared" si="79"/>
        <v>0.1824999891536403</v>
      </c>
      <c r="L133" s="16"/>
      <c r="M133" s="25"/>
      <c r="N133" s="14">
        <f>D143</f>
        <v>10.829610762024778</v>
      </c>
      <c r="O133" s="14">
        <f>F143</f>
        <v>9.9032200200629052</v>
      </c>
      <c r="P133" s="14">
        <f>I143</f>
        <v>9.385803519716875</v>
      </c>
      <c r="Q133" s="30"/>
    </row>
    <row r="134" spans="1:17" ht="15.75" x14ac:dyDescent="0.25">
      <c r="B134" s="14">
        <f>'Исходные данные'!B5</f>
        <v>0.92300000000000004</v>
      </c>
      <c r="C134" s="14">
        <f>'Исходные данные'!I5</f>
        <v>1.4601167591160387</v>
      </c>
      <c r="D134" s="14">
        <f>'Исходные данные'!J5</f>
        <v>0.95081605426183846</v>
      </c>
      <c r="E134" s="14">
        <f t="shared" si="73"/>
        <v>2.1319409502515239</v>
      </c>
      <c r="F134" s="14">
        <f t="shared" si="74"/>
        <v>0.90405116904205129</v>
      </c>
      <c r="G134" s="14">
        <f t="shared" si="75"/>
        <v>1.3883024556642951</v>
      </c>
      <c r="H134" s="14">
        <f t="shared" si="76"/>
        <v>1.3476877686641038</v>
      </c>
      <c r="I134" s="14">
        <f t="shared" si="77"/>
        <v>0.87760321808367692</v>
      </c>
      <c r="J134" s="14">
        <f t="shared" si="78"/>
        <v>1.3517955223325067</v>
      </c>
      <c r="K134" s="14">
        <f t="shared" si="79"/>
        <v>0.18386559997240717</v>
      </c>
      <c r="M134" s="23" t="s">
        <v>23</v>
      </c>
      <c r="N134" s="14">
        <f>COUNT(B131:B142)</f>
        <v>12</v>
      </c>
      <c r="O134" s="14">
        <f>C143</f>
        <v>18.176028653046032</v>
      </c>
      <c r="P134" s="14">
        <f>B143</f>
        <v>10.252000000000001</v>
      </c>
      <c r="Q134" s="28">
        <f t="shared" ref="Q134" si="80">(N134*O135*P136+O134*N136*P135+N135*O136*P134)-(P134*O135*N136+O134*N135*P136+P135*O136*N134)</f>
        <v>4.3917859578868956E-2</v>
      </c>
    </row>
    <row r="135" spans="1:17" ht="15.75" x14ac:dyDescent="0.25">
      <c r="B135" s="14">
        <f>'Исходные данные'!B6</f>
        <v>0.91800000000000004</v>
      </c>
      <c r="C135" s="14">
        <f>'Исходные данные'!I6</f>
        <v>1.4292932268482972</v>
      </c>
      <c r="D135" s="14">
        <f>'Исходные данные'!J6</f>
        <v>0.94862987807078825</v>
      </c>
      <c r="E135" s="14">
        <f t="shared" si="73"/>
        <v>2.0428791283144179</v>
      </c>
      <c r="F135" s="14">
        <f t="shared" si="74"/>
        <v>0.89989864556859855</v>
      </c>
      <c r="G135" s="14">
        <f t="shared" si="75"/>
        <v>1.3558702595125036</v>
      </c>
      <c r="H135" s="14">
        <f t="shared" si="76"/>
        <v>1.3120911822467369</v>
      </c>
      <c r="I135" s="14">
        <f t="shared" si="77"/>
        <v>0.87084222806898359</v>
      </c>
      <c r="J135" s="14">
        <f t="shared" si="78"/>
        <v>1.3449432899143057</v>
      </c>
      <c r="K135" s="14">
        <f t="shared" si="79"/>
        <v>0.18228057280285084</v>
      </c>
      <c r="M135" s="24"/>
      <c r="N135" s="14">
        <f>C143</f>
        <v>18.176028653046032</v>
      </c>
      <c r="O135" s="14">
        <f>E143</f>
        <v>27.561479598991021</v>
      </c>
      <c r="P135" s="14">
        <f>H143</f>
        <v>15.50441422983833</v>
      </c>
      <c r="Q135" s="29"/>
    </row>
    <row r="136" spans="1:17" ht="16.5" thickBot="1" x14ac:dyDescent="0.3">
      <c r="B136" s="14">
        <f>'Исходные данные'!B7</f>
        <v>0.90600000000000003</v>
      </c>
      <c r="C136" s="14">
        <f>'Исходные данные'!I7</f>
        <v>1.5321481115927684</v>
      </c>
      <c r="D136" s="14">
        <f>'Исходные данные'!J7</f>
        <v>0.9561089018822756</v>
      </c>
      <c r="E136" s="14">
        <f t="shared" si="73"/>
        <v>2.3474778358572865</v>
      </c>
      <c r="F136" s="14">
        <f t="shared" si="74"/>
        <v>0.91414423225853092</v>
      </c>
      <c r="G136" s="14">
        <f t="shared" si="75"/>
        <v>1.464900448495964</v>
      </c>
      <c r="H136" s="14">
        <f t="shared" si="76"/>
        <v>1.3881261891030483</v>
      </c>
      <c r="I136" s="14">
        <f t="shared" si="77"/>
        <v>0.86623466510534175</v>
      </c>
      <c r="J136" s="14">
        <f t="shared" si="78"/>
        <v>1.3679938195065722</v>
      </c>
      <c r="K136" s="14">
        <f t="shared" si="79"/>
        <v>0.21343828926227115</v>
      </c>
      <c r="L136" s="16"/>
      <c r="M136" s="25"/>
      <c r="N136" s="14">
        <f>D143</f>
        <v>10.829610762024778</v>
      </c>
      <c r="O136" s="14">
        <f>G143</f>
        <v>16.384093893521154</v>
      </c>
      <c r="P136" s="14">
        <f>I143</f>
        <v>9.385803519716875</v>
      </c>
      <c r="Q136" s="30"/>
    </row>
    <row r="137" spans="1:17" ht="15.75" x14ac:dyDescent="0.25">
      <c r="B137" s="14">
        <f>'Исходные данные'!B8</f>
        <v>0.90500000000000003</v>
      </c>
      <c r="C137" s="14">
        <f>'Исходные данные'!I8</f>
        <v>1.505035214840194</v>
      </c>
      <c r="D137" s="14">
        <f>'Исходные данные'!J8</f>
        <v>0.92338786752177815</v>
      </c>
      <c r="E137" s="14">
        <f t="shared" si="73"/>
        <v>2.2651309979090688</v>
      </c>
      <c r="F137" s="14">
        <f t="shared" si="74"/>
        <v>0.85264515388641693</v>
      </c>
      <c r="G137" s="14">
        <f t="shared" si="75"/>
        <v>1.389731257576468</v>
      </c>
      <c r="H137" s="14">
        <f t="shared" si="76"/>
        <v>1.3620568694303756</v>
      </c>
      <c r="I137" s="14">
        <f t="shared" si="77"/>
        <v>0.83566602010720925</v>
      </c>
      <c r="J137" s="14">
        <f t="shared" si="78"/>
        <v>1.3309396160781517</v>
      </c>
      <c r="K137" s="14">
        <f t="shared" si="79"/>
        <v>0.18142455654480324</v>
      </c>
      <c r="M137" s="24" t="s">
        <v>13</v>
      </c>
      <c r="N137" s="14">
        <f>COUNT(B131:B142)</f>
        <v>12</v>
      </c>
      <c r="O137" s="14">
        <f>C143</f>
        <v>18.176028653046032</v>
      </c>
      <c r="P137" s="14">
        <f>D143</f>
        <v>10.829610762024778</v>
      </c>
      <c r="Q137" s="28">
        <f t="shared" ref="Q137" si="81">(N137*O138*P139+O137*N139*P138+N138*O139*P137)-(P137*O138*N139+O137*N138*P139+P138*O139*N137)</f>
        <v>4.3593958989731618E-2</v>
      </c>
    </row>
    <row r="138" spans="1:17" ht="15.75" x14ac:dyDescent="0.25">
      <c r="B138" s="14">
        <f>'Исходные данные'!B9</f>
        <v>0.54500000000000004</v>
      </c>
      <c r="C138" s="14">
        <f>'Исходные данные'!I9</f>
        <v>1.573857473405059</v>
      </c>
      <c r="D138" s="14">
        <f>'Исходные данные'!J9</f>
        <v>0.66100474649385865</v>
      </c>
      <c r="E138" s="14">
        <f t="shared" si="73"/>
        <v>2.4770273465929558</v>
      </c>
      <c r="F138" s="14">
        <f t="shared" si="74"/>
        <v>0.43692727488741034</v>
      </c>
      <c r="G138" s="14">
        <f t="shared" si="75"/>
        <v>1.040327260225576</v>
      </c>
      <c r="H138" s="14">
        <f t="shared" si="76"/>
        <v>0.85775232300575721</v>
      </c>
      <c r="I138" s="14">
        <f t="shared" si="77"/>
        <v>0.36024758683915298</v>
      </c>
      <c r="J138" s="14">
        <f t="shared" si="78"/>
        <v>1.0769890271869147</v>
      </c>
      <c r="K138" s="14">
        <f t="shared" si="79"/>
        <v>0.2830123250472798</v>
      </c>
      <c r="M138" s="24"/>
      <c r="N138" s="14">
        <f>C143</f>
        <v>18.176028653046032</v>
      </c>
      <c r="O138" s="14">
        <f>E143</f>
        <v>27.561479598991021</v>
      </c>
      <c r="P138" s="14">
        <f>G143</f>
        <v>16.384093893521154</v>
      </c>
      <c r="Q138" s="29"/>
    </row>
    <row r="139" spans="1:17" ht="16.5" thickBot="1" x14ac:dyDescent="0.3">
      <c r="B139" s="14">
        <f>'Исходные данные'!B10</f>
        <v>0.89400000000000002</v>
      </c>
      <c r="C139" s="14">
        <f>'Исходные данные'!I10</f>
        <v>1.5052185666234212</v>
      </c>
      <c r="D139" s="14">
        <f>'Исходные данные'!J10</f>
        <v>0.97049947354040389</v>
      </c>
      <c r="E139" s="14">
        <f t="shared" si="73"/>
        <v>2.265682933307867</v>
      </c>
      <c r="F139" s="14">
        <f t="shared" si="74"/>
        <v>0.94186922814220109</v>
      </c>
      <c r="G139" s="14">
        <f t="shared" si="75"/>
        <v>1.4608138264712718</v>
      </c>
      <c r="H139" s="14">
        <f t="shared" si="76"/>
        <v>1.3456653985613387</v>
      </c>
      <c r="I139" s="14">
        <f t="shared" si="77"/>
        <v>0.86762652934512108</v>
      </c>
      <c r="J139" s="14">
        <f t="shared" si="78"/>
        <v>1.3784289177110423</v>
      </c>
      <c r="K139" s="14">
        <f t="shared" si="79"/>
        <v>0.23467137631469173</v>
      </c>
      <c r="M139" s="25"/>
      <c r="N139" s="14">
        <f>D143</f>
        <v>10.829610762024778</v>
      </c>
      <c r="O139" s="14">
        <f>G143</f>
        <v>16.384093893521154</v>
      </c>
      <c r="P139" s="14">
        <f>F143</f>
        <v>9.9032200200629052</v>
      </c>
      <c r="Q139" s="30"/>
    </row>
    <row r="140" spans="1:17" ht="15.75" x14ac:dyDescent="0.25">
      <c r="B140" s="14">
        <f>'Исходные данные'!B11</f>
        <v>0.9</v>
      </c>
      <c r="C140" s="14">
        <f>'Исходные данные'!I11</f>
        <v>1.4552752205520154</v>
      </c>
      <c r="D140" s="14">
        <f>'Исходные данные'!J11</f>
        <v>0.97090414859695495</v>
      </c>
      <c r="E140" s="14">
        <f t="shared" si="73"/>
        <v>2.1178259675527169</v>
      </c>
      <c r="F140" s="14">
        <f t="shared" si="74"/>
        <v>0.94265486576277802</v>
      </c>
      <c r="G140" s="14">
        <f t="shared" si="75"/>
        <v>1.4129327489843004</v>
      </c>
      <c r="H140" s="14">
        <f t="shared" si="76"/>
        <v>1.3097476984968139</v>
      </c>
      <c r="I140" s="14">
        <f t="shared" si="77"/>
        <v>0.87381373373725946</v>
      </c>
      <c r="J140" s="14">
        <f t="shared" si="78"/>
        <v>1.371302510880162</v>
      </c>
      <c r="K140" s="14">
        <f t="shared" si="79"/>
        <v>0.22212605676194516</v>
      </c>
    </row>
    <row r="141" spans="1:17" ht="16.5" thickBot="1" x14ac:dyDescent="0.3">
      <c r="B141" s="14">
        <f>'Исходные данные'!B12</f>
        <v>0.93200000000000005</v>
      </c>
      <c r="C141" s="14">
        <f>'Исходные данные'!I12</f>
        <v>1.5635963532052795</v>
      </c>
      <c r="D141" s="14">
        <f>'Исходные данные'!J12</f>
        <v>0.98978213454197561</v>
      </c>
      <c r="E141" s="14">
        <f t="shared" si="73"/>
        <v>2.444833555756849</v>
      </c>
      <c r="F141" s="14">
        <f t="shared" si="74"/>
        <v>0.97966867385846956</v>
      </c>
      <c r="G141" s="14">
        <f t="shared" si="75"/>
        <v>1.5476197360375703</v>
      </c>
      <c r="H141" s="14">
        <f t="shared" si="76"/>
        <v>1.4572718011873205</v>
      </c>
      <c r="I141" s="14">
        <f t="shared" si="77"/>
        <v>0.9224769493931213</v>
      </c>
      <c r="J141" s="14">
        <f t="shared" si="78"/>
        <v>1.4066612944897379</v>
      </c>
      <c r="K141" s="14">
        <f t="shared" si="79"/>
        <v>0.22530334448667361</v>
      </c>
      <c r="M141" s="31" t="s">
        <v>24</v>
      </c>
      <c r="N141" s="31" t="s">
        <v>14</v>
      </c>
      <c r="O141" s="31" t="s">
        <v>25</v>
      </c>
      <c r="P141" s="31" t="s">
        <v>15</v>
      </c>
    </row>
    <row r="142" spans="1:17" ht="16.5" thickBot="1" x14ac:dyDescent="0.3">
      <c r="B142" s="14">
        <f>'Исходные данные'!B13</f>
        <v>0.74</v>
      </c>
      <c r="C142" s="14">
        <f>'Исходные данные'!I13</f>
        <v>1.4697085113450263</v>
      </c>
      <c r="D142" s="14">
        <f>'Исходные данные'!J13</f>
        <v>0.75546199912025136</v>
      </c>
      <c r="E142" s="14">
        <f t="shared" si="73"/>
        <v>2.1600431083200133</v>
      </c>
      <c r="F142" s="14">
        <f t="shared" si="74"/>
        <v>0.57072283211476671</v>
      </c>
      <c r="G142" s="14">
        <f t="shared" si="75"/>
        <v>1.1103089301047622</v>
      </c>
      <c r="H142" s="14">
        <f t="shared" si="76"/>
        <v>1.0875842983953194</v>
      </c>
      <c r="I142" s="14">
        <f t="shared" si="77"/>
        <v>0.55904187934898597</v>
      </c>
      <c r="J142" s="14">
        <f t="shared" si="78"/>
        <v>1.1564369396025171</v>
      </c>
      <c r="K142" s="14">
        <f t="shared" si="79"/>
        <v>0.17341972466551053</v>
      </c>
      <c r="M142" s="15">
        <f>Q128/Q137</f>
        <v>0.17365240452281697</v>
      </c>
      <c r="N142" s="15">
        <f>Q131/Q137</f>
        <v>0.15085269995486347</v>
      </c>
      <c r="O142" s="15">
        <f>Q134/Q137</f>
        <v>1.0074299420526049</v>
      </c>
      <c r="P142" s="15">
        <f>K143/COUNT(B131:B142)</f>
        <v>0.20986184423650897</v>
      </c>
    </row>
    <row r="143" spans="1:17" ht="16.5" thickBot="1" x14ac:dyDescent="0.3">
      <c r="A143" s="13" t="s">
        <v>10</v>
      </c>
      <c r="B143" s="15">
        <f>SUM(B131:B142)</f>
        <v>10.252000000000001</v>
      </c>
      <c r="C143" s="15">
        <f t="shared" ref="C143" si="82">SUM(C131:C142)</f>
        <v>18.176028653046032</v>
      </c>
      <c r="D143" s="15">
        <f t="shared" ref="D143" si="83">SUM(D131:D142)</f>
        <v>10.829610762024778</v>
      </c>
      <c r="E143" s="15">
        <f t="shared" ref="E143" si="84">SUM(E131:E142)</f>
        <v>27.561479598991021</v>
      </c>
      <c r="F143" s="15">
        <f t="shared" ref="F143" si="85">SUM(F131:F142)</f>
        <v>9.9032200200629052</v>
      </c>
      <c r="G143" s="15">
        <f t="shared" ref="G143" si="86">SUM(G131:G142)</f>
        <v>16.384093893521154</v>
      </c>
      <c r="H143" s="15">
        <f t="shared" ref="H143" si="87">SUM(H131:H142)</f>
        <v>15.50441422983833</v>
      </c>
      <c r="I143" s="15">
        <f t="shared" ref="I143" si="88">SUM(I131:I142)</f>
        <v>9.385803519716875</v>
      </c>
      <c r="J143" s="15">
        <f t="shared" ref="J143" si="89">SUM(J131:J142)</f>
        <v>15.735805993481645</v>
      </c>
      <c r="K143" s="15">
        <f t="shared" ref="K143" si="90">SUM(K131:K142)</f>
        <v>2.5183421308381075</v>
      </c>
    </row>
    <row r="145" spans="1:17" ht="15.75" thickBot="1" x14ac:dyDescent="0.3">
      <c r="A145">
        <v>9</v>
      </c>
    </row>
    <row r="146" spans="1:17" ht="16.5" thickBot="1" x14ac:dyDescent="0.3">
      <c r="B146" s="5" t="s">
        <v>6</v>
      </c>
      <c r="C146" s="18"/>
      <c r="D146" s="6"/>
      <c r="E146" s="7" t="s">
        <v>7</v>
      </c>
      <c r="F146" s="8"/>
      <c r="G146" s="8"/>
      <c r="H146" s="8"/>
      <c r="I146" s="8"/>
      <c r="J146" s="8"/>
      <c r="K146" s="9"/>
      <c r="M146" s="23" t="s">
        <v>11</v>
      </c>
      <c r="N146" s="14">
        <f>C161</f>
        <v>18.176028653046032</v>
      </c>
      <c r="O146" s="14">
        <f>D161</f>
        <v>10.313075385233695</v>
      </c>
      <c r="P146" s="27">
        <f>B161</f>
        <v>10.252000000000001</v>
      </c>
      <c r="Q146" s="28">
        <f>(N146*O147*P148+O146*N148*P147+N147*O148*P146)-(P146*O147*N148+O146*N147*P148+P147*O148*N146)</f>
        <v>9.805397658055881E-3</v>
      </c>
    </row>
    <row r="147" spans="1:17" ht="16.5" thickBot="1" x14ac:dyDescent="0.3">
      <c r="B147" s="10"/>
      <c r="C147" s="19"/>
      <c r="D147" s="11"/>
      <c r="E147" s="20" t="s">
        <v>8</v>
      </c>
      <c r="F147" s="21"/>
      <c r="G147" s="21"/>
      <c r="H147" s="21"/>
      <c r="I147" s="22"/>
      <c r="J147" s="7" t="s">
        <v>9</v>
      </c>
      <c r="K147" s="9"/>
      <c r="L147" s="16"/>
      <c r="M147" s="24"/>
      <c r="N147" s="14">
        <f>E161</f>
        <v>27.561479598991021</v>
      </c>
      <c r="O147" s="14">
        <f>G161</f>
        <v>15.599768921269476</v>
      </c>
      <c r="P147" s="27">
        <f>H161</f>
        <v>15.50441422983833</v>
      </c>
      <c r="Q147" s="29"/>
    </row>
    <row r="148" spans="1:17" ht="21" thickBot="1" x14ac:dyDescent="0.4">
      <c r="B148" s="12" t="s">
        <v>0</v>
      </c>
      <c r="C148" s="12" t="s">
        <v>47</v>
      </c>
      <c r="D148" s="12" t="s">
        <v>49</v>
      </c>
      <c r="E148" s="33" t="s">
        <v>27</v>
      </c>
      <c r="F148" s="33" t="s">
        <v>32</v>
      </c>
      <c r="G148" s="33" t="s">
        <v>42</v>
      </c>
      <c r="H148" s="33" t="s">
        <v>29</v>
      </c>
      <c r="I148" s="33" t="s">
        <v>34</v>
      </c>
      <c r="J148" s="34" t="s">
        <v>43</v>
      </c>
      <c r="K148" s="33" t="s">
        <v>44</v>
      </c>
      <c r="L148" s="16"/>
      <c r="M148" s="25"/>
      <c r="N148" s="14">
        <f>G161</f>
        <v>15.599768921269476</v>
      </c>
      <c r="O148" s="14">
        <f>F161</f>
        <v>9.0066413414777617</v>
      </c>
      <c r="P148" s="27">
        <f>I161</f>
        <v>8.9512826989537935</v>
      </c>
      <c r="Q148" s="30"/>
    </row>
    <row r="149" spans="1:17" ht="15.75" x14ac:dyDescent="0.25">
      <c r="B149" s="14">
        <f>'Исходные данные'!B2</f>
        <v>0.90400000000000003</v>
      </c>
      <c r="C149" s="14">
        <f>'Исходные данные'!I2</f>
        <v>1.5763812353967626</v>
      </c>
      <c r="D149" s="14">
        <f>'Исходные данные'!K2</f>
        <v>0.90746343046101585</v>
      </c>
      <c r="E149" s="14">
        <f>C149*C149</f>
        <v>2.4849777993110234</v>
      </c>
      <c r="F149" s="14">
        <f>D149*D149</f>
        <v>0.823489877624075</v>
      </c>
      <c r="G149" s="14">
        <f>C149*D149</f>
        <v>1.4305083235875202</v>
      </c>
      <c r="H149" s="14">
        <f>B149*C149</f>
        <v>1.4250486367986734</v>
      </c>
      <c r="I149" s="14">
        <f>B149*D149</f>
        <v>0.82034694113675832</v>
      </c>
      <c r="J149" s="14">
        <f>$M$160+$N$160*C149+$O$160*D149</f>
        <v>1.2653461069236718</v>
      </c>
      <c r="K149" s="14">
        <f>(B149-J149)*(B149-J149)</f>
        <v>0.13057100898889362</v>
      </c>
      <c r="M149" s="23" t="s">
        <v>12</v>
      </c>
      <c r="N149" s="14">
        <f>COUNT(B149:B160)</f>
        <v>12</v>
      </c>
      <c r="O149" s="14">
        <f>D161</f>
        <v>10.313075385233695</v>
      </c>
      <c r="P149" s="14">
        <f>B161</f>
        <v>10.252000000000001</v>
      </c>
      <c r="Q149" s="28">
        <f>(N149*O150*P151+O149*N151*P150+N150*O151*P149)-(P149*O150*N151+O149*N150*P151+P150*O151*N149)</f>
        <v>5.6224680174636887E-3</v>
      </c>
    </row>
    <row r="150" spans="1:17" ht="15.75" x14ac:dyDescent="0.25">
      <c r="B150" s="14">
        <f>'Исходные данные'!B3</f>
        <v>0.92200000000000004</v>
      </c>
      <c r="C150" s="14">
        <f>'Исходные данные'!I3</f>
        <v>1.5217824221156726</v>
      </c>
      <c r="D150" s="14">
        <f>'Исходные данные'!K3</f>
        <v>0.93243738601549631</v>
      </c>
      <c r="E150" s="14">
        <f t="shared" ref="E150:E160" si="91">C150*C150</f>
        <v>2.315821740260243</v>
      </c>
      <c r="F150" s="14">
        <f t="shared" ref="F150:F160" si="92">D150*D150</f>
        <v>0.86943947883941164</v>
      </c>
      <c r="G150" s="14">
        <f t="shared" ref="G150:G160" si="93">C150*D150</f>
        <v>1.4189668237618684</v>
      </c>
      <c r="H150" s="14">
        <f t="shared" ref="H150:H160" si="94">B150*C150</f>
        <v>1.4030833931906501</v>
      </c>
      <c r="I150" s="14">
        <f t="shared" ref="I150:I160" si="95">B150*D150</f>
        <v>0.85970726990628765</v>
      </c>
      <c r="J150" s="14">
        <f t="shared" ref="J150:J160" si="96">$M$160+$N$160*C150+$O$160*D150</f>
        <v>1.282942746863617</v>
      </c>
      <c r="K150" s="14">
        <f t="shared" ref="K150:K160" si="97">(B150-J150)*(B150-J150)</f>
        <v>0.13027966651345305</v>
      </c>
      <c r="M150" s="24"/>
      <c r="N150" s="14">
        <f>C161</f>
        <v>18.176028653046032</v>
      </c>
      <c r="O150" s="14">
        <f>G161</f>
        <v>15.599768921269476</v>
      </c>
      <c r="P150" s="14">
        <f>H161</f>
        <v>15.50441422983833</v>
      </c>
      <c r="Q150" s="29"/>
    </row>
    <row r="151" spans="1:17" ht="16.5" thickBot="1" x14ac:dyDescent="0.3">
      <c r="B151" s="14">
        <f>'Исходные данные'!B4</f>
        <v>0.76300000000000001</v>
      </c>
      <c r="C151" s="14">
        <f>'Исходные данные'!I4</f>
        <v>1.5836155580054945</v>
      </c>
      <c r="D151" s="14">
        <f>'Исходные данные'!K4</f>
        <v>0.71886291196525531</v>
      </c>
      <c r="E151" s="14">
        <f t="shared" si="91"/>
        <v>2.5078382355570534</v>
      </c>
      <c r="F151" s="14">
        <f t="shared" si="92"/>
        <v>0.51676388619916636</v>
      </c>
      <c r="G151" s="14">
        <f t="shared" si="93"/>
        <v>1.1384024914613124</v>
      </c>
      <c r="H151" s="14">
        <f t="shared" si="94"/>
        <v>1.2082986707581922</v>
      </c>
      <c r="I151" s="14">
        <f t="shared" si="95"/>
        <v>0.54849240182948977</v>
      </c>
      <c r="J151" s="14">
        <f t="shared" si="96"/>
        <v>1.0846543221166929</v>
      </c>
      <c r="K151" s="14">
        <f t="shared" si="97"/>
        <v>0.10346150293634922</v>
      </c>
      <c r="L151" s="16"/>
      <c r="M151" s="25"/>
      <c r="N151" s="14">
        <f>D161</f>
        <v>10.313075385233695</v>
      </c>
      <c r="O151" s="14">
        <f>F161</f>
        <v>9.0066413414777617</v>
      </c>
      <c r="P151" s="14">
        <f>I161</f>
        <v>8.9512826989537935</v>
      </c>
      <c r="Q151" s="30"/>
    </row>
    <row r="152" spans="1:17" ht="15.75" x14ac:dyDescent="0.25">
      <c r="B152" s="14">
        <f>'Исходные данные'!B5</f>
        <v>0.92300000000000004</v>
      </c>
      <c r="C152" s="14">
        <f>'Исходные данные'!I5</f>
        <v>1.4601167591160387</v>
      </c>
      <c r="D152" s="14">
        <f>'Исходные данные'!K5</f>
        <v>0.91174440046305383</v>
      </c>
      <c r="E152" s="14">
        <f t="shared" si="91"/>
        <v>2.1319409502515239</v>
      </c>
      <c r="F152" s="14">
        <f t="shared" si="92"/>
        <v>0.83127785177573343</v>
      </c>
      <c r="G152" s="14">
        <f t="shared" si="93"/>
        <v>1.3312532791463099</v>
      </c>
      <c r="H152" s="14">
        <f t="shared" si="94"/>
        <v>1.3476877686641038</v>
      </c>
      <c r="I152" s="14">
        <f t="shared" si="95"/>
        <v>0.84154008162739868</v>
      </c>
      <c r="J152" s="14">
        <f t="shared" si="96"/>
        <v>1.2557467733646579</v>
      </c>
      <c r="K152" s="14">
        <f t="shared" si="97"/>
        <v>0.11072041518459098</v>
      </c>
      <c r="M152" s="23" t="s">
        <v>23</v>
      </c>
      <c r="N152" s="14">
        <f>COUNT(B149:B160)</f>
        <v>12</v>
      </c>
      <c r="O152" s="14">
        <f>C161</f>
        <v>18.176028653046032</v>
      </c>
      <c r="P152" s="14">
        <f>B161</f>
        <v>10.252000000000001</v>
      </c>
      <c r="Q152" s="28">
        <f t="shared" ref="Q152" si="98">(N152*O153*P154+O152*N154*P153+N153*O154*P152)-(P152*O153*N154+O152*N153*P154+P153*O154*N152)</f>
        <v>4.5862456589020439E-2</v>
      </c>
    </row>
    <row r="153" spans="1:17" ht="15.75" x14ac:dyDescent="0.25">
      <c r="B153" s="14">
        <f>'Исходные данные'!B6</f>
        <v>0.91800000000000004</v>
      </c>
      <c r="C153" s="14">
        <f>'Исходные данные'!I6</f>
        <v>1.4292932268482972</v>
      </c>
      <c r="D153" s="14">
        <f>'Исходные данные'!K6</f>
        <v>0.91160313553174976</v>
      </c>
      <c r="E153" s="14">
        <f t="shared" si="91"/>
        <v>2.0428791283144179</v>
      </c>
      <c r="F153" s="14">
        <f t="shared" si="92"/>
        <v>0.83102027671131773</v>
      </c>
      <c r="G153" s="14">
        <f t="shared" si="93"/>
        <v>1.3029481871892001</v>
      </c>
      <c r="H153" s="14">
        <f t="shared" si="94"/>
        <v>1.3120911822467369</v>
      </c>
      <c r="I153" s="14">
        <f t="shared" si="95"/>
        <v>0.83685167841814634</v>
      </c>
      <c r="J153" s="14">
        <f t="shared" si="96"/>
        <v>1.2519733624782148</v>
      </c>
      <c r="K153" s="14">
        <f t="shared" si="97"/>
        <v>0.11153820684500501</v>
      </c>
      <c r="M153" s="24"/>
      <c r="N153" s="14">
        <f>C161</f>
        <v>18.176028653046032</v>
      </c>
      <c r="O153" s="14">
        <f>E161</f>
        <v>27.561479598991021</v>
      </c>
      <c r="P153" s="14">
        <f>H161</f>
        <v>15.50441422983833</v>
      </c>
      <c r="Q153" s="29"/>
    </row>
    <row r="154" spans="1:17" ht="16.5" thickBot="1" x14ac:dyDescent="0.3">
      <c r="B154" s="14">
        <f>'Исходные данные'!B7</f>
        <v>0.90600000000000003</v>
      </c>
      <c r="C154" s="14">
        <f>'Исходные данные'!I7</f>
        <v>1.5321481115927684</v>
      </c>
      <c r="D154" s="14">
        <f>'Исходные данные'!K7</f>
        <v>0.91164606899126377</v>
      </c>
      <c r="E154" s="14">
        <f t="shared" si="91"/>
        <v>2.3474778358572865</v>
      </c>
      <c r="F154" s="14">
        <f t="shared" si="92"/>
        <v>0.83109855510722408</v>
      </c>
      <c r="G154" s="14">
        <f t="shared" si="93"/>
        <v>1.3967768030459355</v>
      </c>
      <c r="H154" s="14">
        <f t="shared" si="94"/>
        <v>1.3881261891030483</v>
      </c>
      <c r="I154" s="14">
        <f t="shared" si="95"/>
        <v>0.82595133850608504</v>
      </c>
      <c r="J154" s="14">
        <f t="shared" si="96"/>
        <v>1.2641524121455661</v>
      </c>
      <c r="K154" s="14">
        <f t="shared" si="97"/>
        <v>0.1282731503256874</v>
      </c>
      <c r="L154" s="16"/>
      <c r="M154" s="25"/>
      <c r="N154" s="14">
        <f>D161</f>
        <v>10.313075385233695</v>
      </c>
      <c r="O154" s="14">
        <f>G161</f>
        <v>15.599768921269476</v>
      </c>
      <c r="P154" s="14">
        <f>I161</f>
        <v>8.9512826989537935</v>
      </c>
      <c r="Q154" s="30"/>
    </row>
    <row r="155" spans="1:17" ht="15.75" x14ac:dyDescent="0.25">
      <c r="B155" s="14">
        <f>'Исходные данные'!B8</f>
        <v>0.90500000000000003</v>
      </c>
      <c r="C155" s="14">
        <f>'Исходные данные'!I8</f>
        <v>1.505035214840194</v>
      </c>
      <c r="D155" s="14">
        <f>'Исходные данные'!K8</f>
        <v>0.88045193787832954</v>
      </c>
      <c r="E155" s="14">
        <f t="shared" si="91"/>
        <v>2.2651309979090688</v>
      </c>
      <c r="F155" s="14">
        <f t="shared" si="92"/>
        <v>0.77519561491370581</v>
      </c>
      <c r="G155" s="14">
        <f t="shared" si="93"/>
        <v>1.3251111714811767</v>
      </c>
      <c r="H155" s="14">
        <f t="shared" si="94"/>
        <v>1.3620568694303756</v>
      </c>
      <c r="I155" s="14">
        <f t="shared" si="95"/>
        <v>0.79680900377988828</v>
      </c>
      <c r="J155" s="14">
        <f t="shared" si="96"/>
        <v>1.2309256224805158</v>
      </c>
      <c r="K155" s="14">
        <f t="shared" si="97"/>
        <v>0.10622751138931172</v>
      </c>
      <c r="M155" s="24" t="s">
        <v>13</v>
      </c>
      <c r="N155" s="14">
        <f>COUNT(B149:B160)</f>
        <v>12</v>
      </c>
      <c r="O155" s="14">
        <f>C161</f>
        <v>18.176028653046032</v>
      </c>
      <c r="P155" s="14">
        <f>D161</f>
        <v>10.313075385233695</v>
      </c>
      <c r="Q155" s="28">
        <f t="shared" ref="Q155" si="99">(N155*O156*P157+O155*N157*P156+N156*O157*P155)-(P155*O156*N157+O155*N156*P157+P156*O157*N155)</f>
        <v>4.7644713642512215E-2</v>
      </c>
    </row>
    <row r="156" spans="1:17" ht="15.75" x14ac:dyDescent="0.25">
      <c r="B156" s="14">
        <f>'Исходные данные'!B9</f>
        <v>0.54500000000000004</v>
      </c>
      <c r="C156" s="14">
        <f>'Исходные данные'!I9</f>
        <v>1.573857473405059</v>
      </c>
      <c r="D156" s="14">
        <f>'Исходные данные'!K9</f>
        <v>0.60545294049247489</v>
      </c>
      <c r="E156" s="14">
        <f t="shared" si="91"/>
        <v>2.4770273465929558</v>
      </c>
      <c r="F156" s="14">
        <f t="shared" si="92"/>
        <v>0.36657326315098432</v>
      </c>
      <c r="G156" s="14">
        <f t="shared" si="93"/>
        <v>0.95289663518915002</v>
      </c>
      <c r="H156" s="14">
        <f t="shared" si="94"/>
        <v>0.85775232300575721</v>
      </c>
      <c r="I156" s="14">
        <f t="shared" si="95"/>
        <v>0.32997185256839884</v>
      </c>
      <c r="J156" s="14">
        <f t="shared" si="96"/>
        <v>0.97433516999736547</v>
      </c>
      <c r="K156" s="14">
        <f t="shared" si="97"/>
        <v>0.18432868819666667</v>
      </c>
      <c r="M156" s="24"/>
      <c r="N156" s="14">
        <f>C161</f>
        <v>18.176028653046032</v>
      </c>
      <c r="O156" s="14">
        <f>E161</f>
        <v>27.561479598991021</v>
      </c>
      <c r="P156" s="14">
        <f>G161</f>
        <v>15.599768921269476</v>
      </c>
      <c r="Q156" s="29"/>
    </row>
    <row r="157" spans="1:17" ht="16.5" thickBot="1" x14ac:dyDescent="0.3">
      <c r="B157" s="14">
        <f>'Исходные данные'!B10</f>
        <v>0.89400000000000002</v>
      </c>
      <c r="C157" s="14">
        <f>'Исходные данные'!I10</f>
        <v>1.5052185666234212</v>
      </c>
      <c r="D157" s="14">
        <f>'Исходные данные'!K10</f>
        <v>0.9283844711639947</v>
      </c>
      <c r="E157" s="14">
        <f t="shared" si="91"/>
        <v>2.265682933307867</v>
      </c>
      <c r="F157" s="14">
        <f t="shared" si="92"/>
        <v>0.86189772629845007</v>
      </c>
      <c r="G157" s="14">
        <f t="shared" si="93"/>
        <v>1.3974215429609111</v>
      </c>
      <c r="H157" s="14">
        <f t="shared" si="94"/>
        <v>1.3456653985613387</v>
      </c>
      <c r="I157" s="14">
        <f t="shared" si="95"/>
        <v>0.82997571722061125</v>
      </c>
      <c r="J157" s="14">
        <f t="shared" si="96"/>
        <v>1.2770867691935548</v>
      </c>
      <c r="K157" s="14">
        <f t="shared" si="97"/>
        <v>0.14675547273115591</v>
      </c>
      <c r="M157" s="25"/>
      <c r="N157" s="14">
        <f>D161</f>
        <v>10.313075385233695</v>
      </c>
      <c r="O157" s="14">
        <f>G161</f>
        <v>15.599768921269476</v>
      </c>
      <c r="P157" s="14">
        <f>F161</f>
        <v>9.0066413414777617</v>
      </c>
      <c r="Q157" s="30"/>
    </row>
    <row r="158" spans="1:17" ht="15.75" x14ac:dyDescent="0.25">
      <c r="B158" s="14">
        <f>'Исходные данные'!B11</f>
        <v>0.9</v>
      </c>
      <c r="C158" s="14">
        <f>'Исходные данные'!I11</f>
        <v>1.4552752205520154</v>
      </c>
      <c r="D158" s="14">
        <f>'Исходные данные'!K11</f>
        <v>0.93266959601695365</v>
      </c>
      <c r="E158" s="14">
        <f t="shared" si="91"/>
        <v>2.1178259675527169</v>
      </c>
      <c r="F158" s="14">
        <f t="shared" si="92"/>
        <v>0.86987257533442752</v>
      </c>
      <c r="G158" s="14">
        <f t="shared" si="93"/>
        <v>1.3572909520457312</v>
      </c>
      <c r="H158" s="14">
        <f t="shared" si="94"/>
        <v>1.3097476984968139</v>
      </c>
      <c r="I158" s="14">
        <f t="shared" si="95"/>
        <v>0.83940263641525825</v>
      </c>
      <c r="J158" s="14">
        <f t="shared" si="96"/>
        <v>1.2753178738223578</v>
      </c>
      <c r="K158" s="14">
        <f t="shared" si="97"/>
        <v>0.1408635064105353</v>
      </c>
    </row>
    <row r="159" spans="1:17" ht="16.5" thickBot="1" x14ac:dyDescent="0.3">
      <c r="B159" s="14">
        <f>'Исходные данные'!B12</f>
        <v>0.93200000000000005</v>
      </c>
      <c r="C159" s="14">
        <f>'Исходные данные'!I12</f>
        <v>1.5635963532052795</v>
      </c>
      <c r="D159" s="14">
        <f>'Исходные данные'!K12</f>
        <v>0.96191686936162513</v>
      </c>
      <c r="E159" s="14">
        <f t="shared" si="91"/>
        <v>2.444833555756849</v>
      </c>
      <c r="F159" s="14">
        <f t="shared" si="92"/>
        <v>0.92528406356246973</v>
      </c>
      <c r="G159" s="14">
        <f t="shared" si="93"/>
        <v>1.5040497090204763</v>
      </c>
      <c r="H159" s="14">
        <f t="shared" si="94"/>
        <v>1.4572718011873205</v>
      </c>
      <c r="I159" s="14">
        <f t="shared" si="95"/>
        <v>0.89650652224503469</v>
      </c>
      <c r="J159" s="14">
        <f t="shared" si="96"/>
        <v>1.3162538719418924</v>
      </c>
      <c r="K159" s="14">
        <f t="shared" si="97"/>
        <v>0.14765103810233618</v>
      </c>
      <c r="M159" s="31" t="s">
        <v>24</v>
      </c>
      <c r="N159" s="31" t="s">
        <v>14</v>
      </c>
      <c r="O159" s="31" t="s">
        <v>25</v>
      </c>
      <c r="P159" s="31" t="s">
        <v>15</v>
      </c>
    </row>
    <row r="160" spans="1:17" ht="16.5" thickBot="1" x14ac:dyDescent="0.3">
      <c r="B160" s="14">
        <f>'Исходные данные'!B13</f>
        <v>0.74</v>
      </c>
      <c r="C160" s="14">
        <f>'Исходные данные'!I13</f>
        <v>1.4697085113450263</v>
      </c>
      <c r="D160" s="14">
        <f>'Исходные данные'!K13</f>
        <v>0.7104422368924832</v>
      </c>
      <c r="E160" s="14">
        <f t="shared" si="91"/>
        <v>2.1600431083200133</v>
      </c>
      <c r="F160" s="14">
        <f t="shared" si="92"/>
        <v>0.50472817196079522</v>
      </c>
      <c r="G160" s="14">
        <f t="shared" si="93"/>
        <v>1.0441430023798821</v>
      </c>
      <c r="H160" s="14">
        <f t="shared" si="94"/>
        <v>1.0875842983953194</v>
      </c>
      <c r="I160" s="14">
        <f t="shared" si="95"/>
        <v>0.52572725530043751</v>
      </c>
      <c r="J160" s="14">
        <f t="shared" si="96"/>
        <v>1.0631066730009797</v>
      </c>
      <c r="K160" s="14">
        <f t="shared" si="97"/>
        <v>0.10439792213776204</v>
      </c>
      <c r="M160" s="15">
        <f>Q146/Q155</f>
        <v>0.20580242609133376</v>
      </c>
      <c r="N160" s="15">
        <f>Q149/Q155</f>
        <v>0.11800822352822156</v>
      </c>
      <c r="O160" s="15">
        <f>Q152/Q155</f>
        <v>0.96259276387167725</v>
      </c>
      <c r="P160" s="15">
        <f>K161/COUNT(B149:B160)</f>
        <v>0.12875567414681224</v>
      </c>
    </row>
    <row r="161" spans="1:17" ht="16.5" thickBot="1" x14ac:dyDescent="0.3">
      <c r="A161" s="13" t="s">
        <v>10</v>
      </c>
      <c r="B161" s="15">
        <f>SUM(B149:B160)</f>
        <v>10.252000000000001</v>
      </c>
      <c r="C161" s="15">
        <f t="shared" ref="C161" si="100">SUM(C149:C160)</f>
        <v>18.176028653046032</v>
      </c>
      <c r="D161" s="15">
        <f t="shared" ref="D161" si="101">SUM(D149:D160)</f>
        <v>10.313075385233695</v>
      </c>
      <c r="E161" s="15">
        <f t="shared" ref="E161" si="102">SUM(E149:E160)</f>
        <v>27.561479598991021</v>
      </c>
      <c r="F161" s="15">
        <f t="shared" ref="F161" si="103">SUM(F149:F160)</f>
        <v>9.0066413414777617</v>
      </c>
      <c r="G161" s="15">
        <f t="shared" ref="G161" si="104">SUM(G149:G160)</f>
        <v>15.599768921269476</v>
      </c>
      <c r="H161" s="15">
        <f t="shared" ref="H161" si="105">SUM(H149:H160)</f>
        <v>15.50441422983833</v>
      </c>
      <c r="I161" s="15">
        <f t="shared" ref="I161" si="106">SUM(I149:I160)</f>
        <v>8.9512826989537935</v>
      </c>
      <c r="J161" s="15">
        <f t="shared" ref="J161" si="107">SUM(J149:J160)</f>
        <v>14.541841704329087</v>
      </c>
      <c r="K161" s="15">
        <f t="shared" ref="K161" si="108">SUM(K149:K160)</f>
        <v>1.545068089761747</v>
      </c>
    </row>
    <row r="163" spans="1:17" ht="15.75" thickBot="1" x14ac:dyDescent="0.3">
      <c r="A163">
        <v>10</v>
      </c>
    </row>
    <row r="164" spans="1:17" ht="16.5" thickBot="1" x14ac:dyDescent="0.3">
      <c r="B164" s="5" t="s">
        <v>6</v>
      </c>
      <c r="C164" s="18"/>
      <c r="D164" s="6"/>
      <c r="E164" s="7" t="s">
        <v>7</v>
      </c>
      <c r="F164" s="8"/>
      <c r="G164" s="8"/>
      <c r="H164" s="8"/>
      <c r="I164" s="8"/>
      <c r="J164" s="8"/>
      <c r="K164" s="9"/>
      <c r="M164" s="23" t="s">
        <v>11</v>
      </c>
      <c r="N164" s="14">
        <f>C179</f>
        <v>10.829610762024778</v>
      </c>
      <c r="O164" s="14">
        <f>D179</f>
        <v>10.313075385233695</v>
      </c>
      <c r="P164" s="27">
        <f>B179</f>
        <v>10.252000000000001</v>
      </c>
      <c r="Q164" s="28">
        <f>(N164*O165*P166+O164*N166*P165+N165*O166*P164)-(P164*O165*N166+O164*N165*P166+P165*O166*N164)</f>
        <v>-1.4292478226707317E-5</v>
      </c>
    </row>
    <row r="165" spans="1:17" ht="16.5" thickBot="1" x14ac:dyDescent="0.3">
      <c r="B165" s="10"/>
      <c r="C165" s="19"/>
      <c r="D165" s="11"/>
      <c r="E165" s="20" t="s">
        <v>8</v>
      </c>
      <c r="F165" s="21"/>
      <c r="G165" s="21"/>
      <c r="H165" s="21"/>
      <c r="I165" s="22"/>
      <c r="J165" s="7" t="s">
        <v>9</v>
      </c>
      <c r="K165" s="9"/>
      <c r="L165" s="16"/>
      <c r="M165" s="24"/>
      <c r="N165" s="14">
        <f>E179</f>
        <v>9.9032200200629052</v>
      </c>
      <c r="O165" s="14">
        <f>G179</f>
        <v>9.4435178587543316</v>
      </c>
      <c r="P165" s="27">
        <f>H179</f>
        <v>9.385803519716875</v>
      </c>
      <c r="Q165" s="29"/>
    </row>
    <row r="166" spans="1:17" ht="21" thickBot="1" x14ac:dyDescent="0.4">
      <c r="B166" s="12" t="s">
        <v>0</v>
      </c>
      <c r="C166" s="12" t="s">
        <v>48</v>
      </c>
      <c r="D166" s="12" t="s">
        <v>49</v>
      </c>
      <c r="E166" s="33" t="s">
        <v>27</v>
      </c>
      <c r="F166" s="33" t="s">
        <v>32</v>
      </c>
      <c r="G166" s="33" t="s">
        <v>42</v>
      </c>
      <c r="H166" s="33" t="s">
        <v>29</v>
      </c>
      <c r="I166" s="33" t="s">
        <v>34</v>
      </c>
      <c r="J166" s="34" t="s">
        <v>43</v>
      </c>
      <c r="K166" s="33" t="s">
        <v>44</v>
      </c>
      <c r="L166" s="16"/>
      <c r="M166" s="25"/>
      <c r="N166" s="14">
        <f>G179</f>
        <v>9.4435178587543316</v>
      </c>
      <c r="O166" s="14">
        <f>F179</f>
        <v>9.0066413414777617</v>
      </c>
      <c r="P166" s="27">
        <f>I179</f>
        <v>8.9512826989537935</v>
      </c>
      <c r="Q166" s="30"/>
    </row>
    <row r="167" spans="1:17" ht="15.75" x14ac:dyDescent="0.25">
      <c r="B167" s="14">
        <f>'Исходные данные'!B2</f>
        <v>0.90400000000000003</v>
      </c>
      <c r="C167" s="14">
        <f>'Исходные данные'!J2</f>
        <v>0.95524397920655613</v>
      </c>
      <c r="D167" s="14">
        <f>'Исходные данные'!K2</f>
        <v>0.90746343046101585</v>
      </c>
      <c r="E167" s="14">
        <f>C167*C167</f>
        <v>0.91249105981037548</v>
      </c>
      <c r="F167" s="14">
        <f>D167*D167</f>
        <v>0.823489877624075</v>
      </c>
      <c r="G167" s="14">
        <f>C167*D167</f>
        <v>0.86684897829801266</v>
      </c>
      <c r="H167" s="14">
        <f>B167*C167</f>
        <v>0.86354055720272671</v>
      </c>
      <c r="I167" s="14">
        <f>B167*D167</f>
        <v>0.82034694113675832</v>
      </c>
      <c r="J167" s="14">
        <f>$M$178+$N$178*C167+$O$178*D167</f>
        <v>-0.12494007377209565</v>
      </c>
      <c r="K167" s="14">
        <f>(B167-J167)*(B167-J167)</f>
        <v>1.0587176754141259</v>
      </c>
      <c r="M167" s="23" t="s">
        <v>12</v>
      </c>
      <c r="N167" s="14">
        <f>COUNT(B167:B178)</f>
        <v>12</v>
      </c>
      <c r="O167" s="14">
        <f>D179</f>
        <v>10.313075385233695</v>
      </c>
      <c r="P167" s="14">
        <f>B179</f>
        <v>10.252000000000001</v>
      </c>
      <c r="Q167" s="28">
        <f>(N167*O168*P169+O167*N169*P168+N168*O169*P167)-(P167*O168*N169+O167*N168*P169+P168*O169*N167)</f>
        <v>-2.2749251183995511E-4</v>
      </c>
    </row>
    <row r="168" spans="1:17" ht="15.75" x14ac:dyDescent="0.25">
      <c r="B168" s="14">
        <f>'Исходные данные'!B3</f>
        <v>0.92200000000000004</v>
      </c>
      <c r="C168" s="14">
        <f>'Исходные данные'!J3</f>
        <v>0.97585181050301584</v>
      </c>
      <c r="D168" s="14">
        <f>'Исходные данные'!K3</f>
        <v>0.93243738601549631</v>
      </c>
      <c r="E168" s="14">
        <f t="shared" ref="E168:E178" si="109">C168*C168</f>
        <v>0.95228675606201396</v>
      </c>
      <c r="F168" s="14">
        <f t="shared" ref="F168:F178" si="110">D168*D168</f>
        <v>0.86943947883941164</v>
      </c>
      <c r="G168" s="14">
        <f t="shared" ref="G168:G178" si="111">C168*D168</f>
        <v>0.90992071132392149</v>
      </c>
      <c r="H168" s="14">
        <f t="shared" ref="H168:H178" si="112">B168*C168</f>
        <v>0.89973536928378062</v>
      </c>
      <c r="I168" s="14">
        <f t="shared" ref="I168:I178" si="113">B168*D168</f>
        <v>0.85970726990628765</v>
      </c>
      <c r="J168" s="14">
        <f t="shared" ref="J168:J178" si="114">$M$178+$N$178*C168+$O$178*D168</f>
        <v>-0.12438281029839815</v>
      </c>
      <c r="K168" s="14">
        <f t="shared" ref="K168:K178" si="115">(B168-J168)*(B168-J168)</f>
        <v>1.0949169856879732</v>
      </c>
      <c r="M168" s="24"/>
      <c r="N168" s="14">
        <f>C179</f>
        <v>10.829610762024778</v>
      </c>
      <c r="O168" s="14">
        <f>G179</f>
        <v>9.4435178587543316</v>
      </c>
      <c r="P168" s="14">
        <f>H179</f>
        <v>9.385803519716875</v>
      </c>
      <c r="Q168" s="29"/>
    </row>
    <row r="169" spans="1:17" ht="16.5" thickBot="1" x14ac:dyDescent="0.3">
      <c r="B169" s="14">
        <f>'Исходные данные'!B4</f>
        <v>0.76300000000000001</v>
      </c>
      <c r="C169" s="14">
        <f>'Исходные данные'!J4</f>
        <v>0.7719197682850808</v>
      </c>
      <c r="D169" s="14">
        <f>'Исходные данные'!K4</f>
        <v>0.71886291196525531</v>
      </c>
      <c r="E169" s="14">
        <f t="shared" si="109"/>
        <v>0.59586012866929283</v>
      </c>
      <c r="F169" s="14">
        <f t="shared" si="110"/>
        <v>0.51676388619916636</v>
      </c>
      <c r="G169" s="14">
        <f t="shared" si="111"/>
        <v>0.55490449243295836</v>
      </c>
      <c r="H169" s="14">
        <f t="shared" si="112"/>
        <v>0.58897478320151664</v>
      </c>
      <c r="I169" s="14">
        <f t="shared" si="113"/>
        <v>0.54849240182948977</v>
      </c>
      <c r="J169" s="14">
        <f t="shared" si="114"/>
        <v>-0.11421404635919347</v>
      </c>
      <c r="K169" s="14">
        <f t="shared" si="115"/>
        <v>0.7695044831298693</v>
      </c>
      <c r="L169" s="16"/>
      <c r="M169" s="25"/>
      <c r="N169" s="14">
        <f>D179</f>
        <v>10.313075385233695</v>
      </c>
      <c r="O169" s="14">
        <f>F179</f>
        <v>9.0066413414777617</v>
      </c>
      <c r="P169" s="14">
        <f>I179</f>
        <v>8.9512826989537935</v>
      </c>
      <c r="Q169" s="30"/>
    </row>
    <row r="170" spans="1:17" ht="15.75" x14ac:dyDescent="0.25">
      <c r="B170" s="14">
        <f>'Исходные данные'!B5</f>
        <v>0.92300000000000004</v>
      </c>
      <c r="C170" s="14">
        <f>'Исходные данные'!J5</f>
        <v>0.95081605426183846</v>
      </c>
      <c r="D170" s="14">
        <f>'Исходные данные'!K5</f>
        <v>0.91174440046305383</v>
      </c>
      <c r="E170" s="14">
        <f t="shared" si="109"/>
        <v>0.90405116904205129</v>
      </c>
      <c r="F170" s="14">
        <f t="shared" si="110"/>
        <v>0.83127785177573343</v>
      </c>
      <c r="G170" s="14">
        <f t="shared" si="111"/>
        <v>0.86690121334360637</v>
      </c>
      <c r="H170" s="14">
        <f t="shared" si="112"/>
        <v>0.87760321808367692</v>
      </c>
      <c r="I170" s="14">
        <f t="shared" si="113"/>
        <v>0.84154008162739868</v>
      </c>
      <c r="J170" s="14">
        <f t="shared" si="114"/>
        <v>-0.12055208179136917</v>
      </c>
      <c r="K170" s="14">
        <f t="shared" si="115"/>
        <v>1.0890009474111007</v>
      </c>
      <c r="M170" s="23" t="s">
        <v>23</v>
      </c>
      <c r="N170" s="14">
        <f>COUNT(B167:B178)</f>
        <v>12</v>
      </c>
      <c r="O170" s="14">
        <f>C179</f>
        <v>10.829610762024778</v>
      </c>
      <c r="P170" s="14">
        <f>B179</f>
        <v>10.252000000000001</v>
      </c>
      <c r="Q170" s="28">
        <f t="shared" ref="Q170" si="116">(N170*O171*P172+O170*N172*P171+N171*O172*P170)-(P170*O171*N172+O170*N171*P172+P171*O172*N170)</f>
        <v>1.9713460369530367E-4</v>
      </c>
    </row>
    <row r="171" spans="1:17" ht="15.75" x14ac:dyDescent="0.25">
      <c r="B171" s="14">
        <f>'Исходные данные'!B6</f>
        <v>0.91800000000000004</v>
      </c>
      <c r="C171" s="14">
        <f>'Исходные данные'!J6</f>
        <v>0.94862987807078825</v>
      </c>
      <c r="D171" s="14">
        <f>'Исходные данные'!K6</f>
        <v>0.91160313553174976</v>
      </c>
      <c r="E171" s="14">
        <f t="shared" si="109"/>
        <v>0.89989864556859855</v>
      </c>
      <c r="F171" s="14">
        <f t="shared" si="110"/>
        <v>0.83102027671131773</v>
      </c>
      <c r="G171" s="14">
        <f t="shared" si="111"/>
        <v>0.86477397130843203</v>
      </c>
      <c r="H171" s="14">
        <f t="shared" si="112"/>
        <v>0.87084222806898359</v>
      </c>
      <c r="I171" s="14">
        <f t="shared" si="113"/>
        <v>0.83685167841814634</v>
      </c>
      <c r="J171" s="14">
        <f t="shared" si="114"/>
        <v>-0.119439253262483</v>
      </c>
      <c r="K171" s="14">
        <f t="shared" si="115"/>
        <v>1.0762802042098183</v>
      </c>
      <c r="M171" s="24"/>
      <c r="N171" s="14">
        <f>C179</f>
        <v>10.829610762024778</v>
      </c>
      <c r="O171" s="14">
        <f>E179</f>
        <v>9.9032200200629052</v>
      </c>
      <c r="P171" s="14">
        <f>H179</f>
        <v>9.385803519716875</v>
      </c>
      <c r="Q171" s="29"/>
    </row>
    <row r="172" spans="1:17" ht="16.5" thickBot="1" x14ac:dyDescent="0.3">
      <c r="B172" s="14">
        <f>'Исходные данные'!B7</f>
        <v>0.90600000000000003</v>
      </c>
      <c r="C172" s="14">
        <f>'Исходные данные'!J7</f>
        <v>0.9561089018822756</v>
      </c>
      <c r="D172" s="14">
        <f>'Исходные данные'!K7</f>
        <v>0.91164606899126377</v>
      </c>
      <c r="E172" s="14">
        <f t="shared" si="109"/>
        <v>0.91414423225853092</v>
      </c>
      <c r="F172" s="14">
        <f t="shared" si="110"/>
        <v>0.83109855510722408</v>
      </c>
      <c r="G172" s="14">
        <f t="shared" si="111"/>
        <v>0.87163292192853048</v>
      </c>
      <c r="H172" s="14">
        <f t="shared" si="112"/>
        <v>0.86623466510534175</v>
      </c>
      <c r="I172" s="14">
        <f t="shared" si="113"/>
        <v>0.82595133850608504</v>
      </c>
      <c r="J172" s="14">
        <f t="shared" si="114"/>
        <v>-0.12345205480633287</v>
      </c>
      <c r="K172" s="14">
        <f t="shared" si="115"/>
        <v>1.0597715331449808</v>
      </c>
      <c r="L172" s="16"/>
      <c r="M172" s="25"/>
      <c r="N172" s="14">
        <f>D179</f>
        <v>10.313075385233695</v>
      </c>
      <c r="O172" s="14">
        <f>G179</f>
        <v>9.4435178587543316</v>
      </c>
      <c r="P172" s="14">
        <f>I179</f>
        <v>8.9512826989537935</v>
      </c>
      <c r="Q172" s="30"/>
    </row>
    <row r="173" spans="1:17" ht="15.75" x14ac:dyDescent="0.25">
      <c r="B173" s="14">
        <f>'Исходные данные'!B8</f>
        <v>0.90500000000000003</v>
      </c>
      <c r="C173" s="14">
        <f>'Исходные данные'!J8</f>
        <v>0.92338786752177815</v>
      </c>
      <c r="D173" s="14">
        <f>'Исходные данные'!K8</f>
        <v>0.88045193787832954</v>
      </c>
      <c r="E173" s="14">
        <f t="shared" si="109"/>
        <v>0.85264515388641693</v>
      </c>
      <c r="F173" s="14">
        <f t="shared" si="110"/>
        <v>0.77519561491370581</v>
      </c>
      <c r="G173" s="14">
        <f t="shared" si="111"/>
        <v>0.8129986373728878</v>
      </c>
      <c r="H173" s="14">
        <f t="shared" si="112"/>
        <v>0.83566602010720925</v>
      </c>
      <c r="I173" s="14">
        <f t="shared" si="113"/>
        <v>0.79680900377988828</v>
      </c>
      <c r="J173" s="14">
        <f t="shared" si="114"/>
        <v>-0.12038407592416672</v>
      </c>
      <c r="K173" s="14">
        <f t="shared" si="115"/>
        <v>1.0514125031588575</v>
      </c>
      <c r="M173" s="24" t="s">
        <v>13</v>
      </c>
      <c r="N173" s="14">
        <f>COUNT(B167:B178)</f>
        <v>12</v>
      </c>
      <c r="O173" s="14">
        <f>C179</f>
        <v>10.829610762024778</v>
      </c>
      <c r="P173" s="14">
        <f>D179</f>
        <v>10.313075385233695</v>
      </c>
      <c r="Q173" s="28">
        <f t="shared" ref="Q173" si="117">(N173*O174*P175+O173*N175*P174+N174*O175*P173)-(P173*O174*N175+O173*N174*P175+P174*O175*N173)</f>
        <v>4.2188935185549781E-4</v>
      </c>
    </row>
    <row r="174" spans="1:17" ht="15.75" x14ac:dyDescent="0.25">
      <c r="B174" s="14">
        <f>'Исходные данные'!B9</f>
        <v>0.54500000000000004</v>
      </c>
      <c r="C174" s="14">
        <f>'Исходные данные'!J9</f>
        <v>0.66100474649385865</v>
      </c>
      <c r="D174" s="14">
        <f>'Исходные данные'!K9</f>
        <v>0.60545294049247489</v>
      </c>
      <c r="E174" s="14">
        <f t="shared" si="109"/>
        <v>0.43692727488741034</v>
      </c>
      <c r="F174" s="14">
        <f t="shared" si="110"/>
        <v>0.36657326315098432</v>
      </c>
      <c r="G174" s="14">
        <f t="shared" si="111"/>
        <v>0.40020726744418966</v>
      </c>
      <c r="H174" s="14">
        <f t="shared" si="112"/>
        <v>0.36024758683915298</v>
      </c>
      <c r="I174" s="14">
        <f t="shared" si="113"/>
        <v>0.32997185256839884</v>
      </c>
      <c r="J174" s="14">
        <f t="shared" si="114"/>
        <v>-0.10739873539189737</v>
      </c>
      <c r="K174" s="14">
        <f t="shared" si="115"/>
        <v>0.42562410994094696</v>
      </c>
      <c r="M174" s="24"/>
      <c r="N174" s="14">
        <f>C179</f>
        <v>10.829610762024778</v>
      </c>
      <c r="O174" s="14">
        <f>E179</f>
        <v>9.9032200200629052</v>
      </c>
      <c r="P174" s="14">
        <f>G179</f>
        <v>9.4435178587543316</v>
      </c>
      <c r="Q174" s="29"/>
    </row>
    <row r="175" spans="1:17" ht="16.5" thickBot="1" x14ac:dyDescent="0.3">
      <c r="B175" s="14">
        <f>'Исходные данные'!B10</f>
        <v>0.89400000000000002</v>
      </c>
      <c r="C175" s="14">
        <f>'Исходные данные'!J10</f>
        <v>0.97049947354040389</v>
      </c>
      <c r="D175" s="14">
        <f>'Исходные данные'!K10</f>
        <v>0.9283844711639947</v>
      </c>
      <c r="E175" s="14">
        <f t="shared" si="109"/>
        <v>0.94186922814220109</v>
      </c>
      <c r="F175" s="14">
        <f t="shared" si="110"/>
        <v>0.86189772629845007</v>
      </c>
      <c r="G175" s="14">
        <f t="shared" si="111"/>
        <v>0.90099664050774309</v>
      </c>
      <c r="H175" s="14">
        <f t="shared" si="112"/>
        <v>0.86762652934512108</v>
      </c>
      <c r="I175" s="14">
        <f t="shared" si="113"/>
        <v>0.82997571722061125</v>
      </c>
      <c r="J175" s="14">
        <f t="shared" si="114"/>
        <v>-0.12339049604601038</v>
      </c>
      <c r="K175" s="14">
        <f t="shared" si="115"/>
        <v>1.0350834214447469</v>
      </c>
      <c r="M175" s="25"/>
      <c r="N175" s="14">
        <f>D179</f>
        <v>10.313075385233695</v>
      </c>
      <c r="O175" s="14">
        <f>G179</f>
        <v>9.4435178587543316</v>
      </c>
      <c r="P175" s="14">
        <f>F179</f>
        <v>9.0066413414777617</v>
      </c>
      <c r="Q175" s="30"/>
    </row>
    <row r="176" spans="1:17" ht="15.75" x14ac:dyDescent="0.25">
      <c r="B176" s="14">
        <f>'Исходные данные'!B11</f>
        <v>0.9</v>
      </c>
      <c r="C176" s="14">
        <f>'Исходные данные'!J11</f>
        <v>0.97090414859695495</v>
      </c>
      <c r="D176" s="14">
        <f>'Исходные данные'!K11</f>
        <v>0.93266959601695365</v>
      </c>
      <c r="E176" s="14">
        <f t="shared" si="109"/>
        <v>0.94265486576277802</v>
      </c>
      <c r="F176" s="14">
        <f t="shared" si="110"/>
        <v>0.86987257533442752</v>
      </c>
      <c r="G176" s="14">
        <f t="shared" si="111"/>
        <v>0.90553278004310633</v>
      </c>
      <c r="H176" s="14">
        <f t="shared" si="112"/>
        <v>0.87381373373725946</v>
      </c>
      <c r="I176" s="14">
        <f t="shared" si="113"/>
        <v>0.83940263641525825</v>
      </c>
      <c r="J176" s="14">
        <f t="shared" si="114"/>
        <v>-0.12160641251494048</v>
      </c>
      <c r="K176" s="14">
        <f t="shared" si="115"/>
        <v>1.0436796620916466</v>
      </c>
    </row>
    <row r="177" spans="1:16" ht="16.5" thickBot="1" x14ac:dyDescent="0.3">
      <c r="B177" s="14">
        <f>'Исходные данные'!B12</f>
        <v>0.93200000000000005</v>
      </c>
      <c r="C177" s="14">
        <f>'Исходные данные'!J12</f>
        <v>0.98978213454197561</v>
      </c>
      <c r="D177" s="14">
        <f>'Исходные данные'!K12</f>
        <v>0.96191686936162513</v>
      </c>
      <c r="E177" s="14">
        <f t="shared" si="109"/>
        <v>0.97966867385846956</v>
      </c>
      <c r="F177" s="14">
        <f t="shared" si="110"/>
        <v>0.92528406356246973</v>
      </c>
      <c r="G177" s="14">
        <f t="shared" si="111"/>
        <v>0.95208813220868405</v>
      </c>
      <c r="H177" s="14">
        <f t="shared" si="112"/>
        <v>0.9224769493931213</v>
      </c>
      <c r="I177" s="14">
        <f t="shared" si="113"/>
        <v>0.89650652224503469</v>
      </c>
      <c r="J177" s="14">
        <f t="shared" si="114"/>
        <v>-0.11811959969923858</v>
      </c>
      <c r="K177" s="14">
        <f t="shared" si="115"/>
        <v>1.1027511736724893</v>
      </c>
      <c r="M177" s="31" t="s">
        <v>24</v>
      </c>
      <c r="N177" s="31" t="s">
        <v>14</v>
      </c>
      <c r="O177" s="31" t="s">
        <v>25</v>
      </c>
      <c r="P177" s="31" t="s">
        <v>15</v>
      </c>
    </row>
    <row r="178" spans="1:16" ht="16.5" thickBot="1" x14ac:dyDescent="0.3">
      <c r="B178" s="14">
        <f>'Исходные данные'!B13</f>
        <v>0.74</v>
      </c>
      <c r="C178" s="14">
        <f>'Исходные данные'!J13</f>
        <v>0.75546199912025136</v>
      </c>
      <c r="D178" s="14">
        <f>'Исходные данные'!K13</f>
        <v>0.7104422368924832</v>
      </c>
      <c r="E178" s="14">
        <f t="shared" si="109"/>
        <v>0.57072283211476671</v>
      </c>
      <c r="F178" s="14">
        <f t="shared" si="110"/>
        <v>0.50472817196079522</v>
      </c>
      <c r="G178" s="14">
        <f t="shared" si="111"/>
        <v>0.53671211254225859</v>
      </c>
      <c r="H178" s="14">
        <f t="shared" si="112"/>
        <v>0.55904187934898597</v>
      </c>
      <c r="I178" s="14">
        <f t="shared" si="113"/>
        <v>0.52572725530043751</v>
      </c>
      <c r="J178" s="14">
        <f t="shared" si="114"/>
        <v>-0.10927433220403471</v>
      </c>
      <c r="K178" s="14">
        <f t="shared" si="115"/>
        <v>0.72126689134060906</v>
      </c>
      <c r="M178" s="15">
        <f>Q164/Q173</f>
        <v>-3.3877314428174196E-2</v>
      </c>
      <c r="N178" s="15">
        <f>Q167/Q173</f>
        <v>-0.53922316559881811</v>
      </c>
      <c r="O178" s="15">
        <f>Q170/Q173</f>
        <v>0.46726612754811753</v>
      </c>
      <c r="P178" s="15">
        <f>K179/COUNT(B167:B178)</f>
        <v>0.96066746588726371</v>
      </c>
    </row>
    <row r="179" spans="1:16" ht="16.5" thickBot="1" x14ac:dyDescent="0.3">
      <c r="A179" s="13" t="s">
        <v>10</v>
      </c>
      <c r="B179" s="15">
        <f>SUM(B167:B178)</f>
        <v>10.252000000000001</v>
      </c>
      <c r="C179" s="15">
        <f t="shared" ref="C179" si="118">SUM(C167:C178)</f>
        <v>10.829610762024778</v>
      </c>
      <c r="D179" s="15">
        <f t="shared" ref="D179" si="119">SUM(D167:D178)</f>
        <v>10.313075385233695</v>
      </c>
      <c r="E179" s="15">
        <f t="shared" ref="E179" si="120">SUM(E167:E178)</f>
        <v>9.9032200200629052</v>
      </c>
      <c r="F179" s="15">
        <f t="shared" ref="F179" si="121">SUM(F167:F178)</f>
        <v>9.0066413414777617</v>
      </c>
      <c r="G179" s="15">
        <f t="shared" ref="G179" si="122">SUM(G167:G178)</f>
        <v>9.4435178587543316</v>
      </c>
      <c r="H179" s="15">
        <f t="shared" ref="H179" si="123">SUM(H167:H178)</f>
        <v>9.385803519716875</v>
      </c>
      <c r="I179" s="15">
        <f t="shared" ref="I179" si="124">SUM(I167:I178)</f>
        <v>8.9512826989537935</v>
      </c>
      <c r="J179" s="15">
        <f t="shared" ref="J179" si="125">SUM(J167:J178)</f>
        <v>-1.4271539720701605</v>
      </c>
      <c r="K179" s="15">
        <f t="shared" ref="K179" si="126">SUM(K167:K178)</f>
        <v>11.528009590647164</v>
      </c>
    </row>
  </sheetData>
  <mergeCells count="120">
    <mergeCell ref="M167:M169"/>
    <mergeCell ref="Q167:Q169"/>
    <mergeCell ref="M170:M172"/>
    <mergeCell ref="Q170:Q172"/>
    <mergeCell ref="M173:M175"/>
    <mergeCell ref="Q173:Q175"/>
    <mergeCell ref="B164:D165"/>
    <mergeCell ref="E164:K164"/>
    <mergeCell ref="M164:M166"/>
    <mergeCell ref="Q164:Q166"/>
    <mergeCell ref="E165:I165"/>
    <mergeCell ref="J165:K165"/>
    <mergeCell ref="M149:M151"/>
    <mergeCell ref="Q149:Q151"/>
    <mergeCell ref="M152:M154"/>
    <mergeCell ref="Q152:Q154"/>
    <mergeCell ref="M155:M157"/>
    <mergeCell ref="Q155:Q157"/>
    <mergeCell ref="B146:D147"/>
    <mergeCell ref="E146:K146"/>
    <mergeCell ref="M146:M148"/>
    <mergeCell ref="Q146:Q148"/>
    <mergeCell ref="E147:I147"/>
    <mergeCell ref="J147:K147"/>
    <mergeCell ref="M131:M133"/>
    <mergeCell ref="Q131:Q133"/>
    <mergeCell ref="M134:M136"/>
    <mergeCell ref="Q134:Q136"/>
    <mergeCell ref="M137:M139"/>
    <mergeCell ref="Q137:Q139"/>
    <mergeCell ref="B128:D129"/>
    <mergeCell ref="E128:K128"/>
    <mergeCell ref="M128:M130"/>
    <mergeCell ref="Q128:Q130"/>
    <mergeCell ref="E129:I129"/>
    <mergeCell ref="J129:K129"/>
    <mergeCell ref="M113:M115"/>
    <mergeCell ref="Q113:Q115"/>
    <mergeCell ref="M116:M118"/>
    <mergeCell ref="Q116:Q118"/>
    <mergeCell ref="M119:M121"/>
    <mergeCell ref="Q119:Q121"/>
    <mergeCell ref="B110:D111"/>
    <mergeCell ref="E110:K110"/>
    <mergeCell ref="M110:M112"/>
    <mergeCell ref="Q110:Q112"/>
    <mergeCell ref="E111:I111"/>
    <mergeCell ref="J111:K111"/>
    <mergeCell ref="M95:M97"/>
    <mergeCell ref="Q95:Q97"/>
    <mergeCell ref="M98:M100"/>
    <mergeCell ref="Q98:Q100"/>
    <mergeCell ref="M101:M103"/>
    <mergeCell ref="Q101:Q103"/>
    <mergeCell ref="B92:D93"/>
    <mergeCell ref="E92:K92"/>
    <mergeCell ref="M92:M94"/>
    <mergeCell ref="Q92:Q94"/>
    <mergeCell ref="E93:I93"/>
    <mergeCell ref="J93:K93"/>
    <mergeCell ref="M77:M79"/>
    <mergeCell ref="Q77:Q79"/>
    <mergeCell ref="M80:M82"/>
    <mergeCell ref="Q80:Q82"/>
    <mergeCell ref="M83:M85"/>
    <mergeCell ref="Q83:Q85"/>
    <mergeCell ref="B74:D75"/>
    <mergeCell ref="E74:K74"/>
    <mergeCell ref="M74:M76"/>
    <mergeCell ref="Q74:Q76"/>
    <mergeCell ref="E75:I75"/>
    <mergeCell ref="J75:K75"/>
    <mergeCell ref="M59:M61"/>
    <mergeCell ref="Q59:Q61"/>
    <mergeCell ref="M62:M64"/>
    <mergeCell ref="Q62:Q64"/>
    <mergeCell ref="M65:M67"/>
    <mergeCell ref="Q65:Q67"/>
    <mergeCell ref="B56:D57"/>
    <mergeCell ref="E56:K56"/>
    <mergeCell ref="M56:M58"/>
    <mergeCell ref="Q56:Q58"/>
    <mergeCell ref="E57:I57"/>
    <mergeCell ref="J57:K57"/>
    <mergeCell ref="M41:M43"/>
    <mergeCell ref="Q41:Q43"/>
    <mergeCell ref="M44:M46"/>
    <mergeCell ref="Q44:Q46"/>
    <mergeCell ref="M47:M49"/>
    <mergeCell ref="Q47:Q49"/>
    <mergeCell ref="B38:D39"/>
    <mergeCell ref="E38:K38"/>
    <mergeCell ref="M38:M40"/>
    <mergeCell ref="Q38:Q40"/>
    <mergeCell ref="E39:I39"/>
    <mergeCell ref="J39:K39"/>
    <mergeCell ref="M23:M25"/>
    <mergeCell ref="Q23:Q25"/>
    <mergeCell ref="M26:M28"/>
    <mergeCell ref="Q26:Q28"/>
    <mergeCell ref="M29:M31"/>
    <mergeCell ref="Q29:Q31"/>
    <mergeCell ref="B20:D21"/>
    <mergeCell ref="E20:K20"/>
    <mergeCell ref="M20:M22"/>
    <mergeCell ref="Q20:Q22"/>
    <mergeCell ref="E21:I21"/>
    <mergeCell ref="J21:K21"/>
    <mergeCell ref="M5:M7"/>
    <mergeCell ref="Q5:Q7"/>
    <mergeCell ref="M8:M10"/>
    <mergeCell ref="Q8:Q10"/>
    <mergeCell ref="M11:M13"/>
    <mergeCell ref="Q11:Q13"/>
    <mergeCell ref="B2:D3"/>
    <mergeCell ref="E2:K2"/>
    <mergeCell ref="M2:M4"/>
    <mergeCell ref="Q2:Q4"/>
    <mergeCell ref="E3:I3"/>
    <mergeCell ref="J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workbookViewId="0">
      <selection activeCell="E18" sqref="E18"/>
    </sheetView>
  </sheetViews>
  <sheetFormatPr defaultRowHeight="15" x14ac:dyDescent="0.25"/>
  <sheetData>
    <row r="2" spans="1:5" x14ac:dyDescent="0.25">
      <c r="B2" t="s">
        <v>51</v>
      </c>
      <c r="C2" t="s">
        <v>54</v>
      </c>
      <c r="D2" t="s">
        <v>53</v>
      </c>
    </row>
    <row r="3" spans="1:5" x14ac:dyDescent="0.25">
      <c r="A3">
        <v>1</v>
      </c>
      <c r="B3" s="43" t="s">
        <v>52</v>
      </c>
      <c r="C3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ряд'!C41+'Уравнения регрессии 1 ряд'!$O$52*'Уравнения регрессии 1 ряд'!D41)+'Уравнения регрессии 2 ряд'!$O$124*('Уравнения регрессии 1 ряд'!$M$106+'Уравнения регрессии 1 ряд'!$N$106*'Уравнения регрессии 1 ряд'!C95+'Уравнения регрессии 1 ряд'!$O$106*'Уравнения регрессии 1 ряд'!D95)</f>
        <v>1.2413238437253906</v>
      </c>
      <c r="D3">
        <f>'Исходные данные'!B2</f>
        <v>0.90400000000000003</v>
      </c>
      <c r="E3" t="s">
        <v>0</v>
      </c>
    </row>
    <row r="4" spans="1:5" x14ac:dyDescent="0.25">
      <c r="A4">
        <v>2</v>
      </c>
      <c r="C4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ряд'!C42+'Уравнения регрессии 1 ряд'!$O$52*'Уравнения регрессии 1 ряд'!D42)+'Уравнения регрессии 2 ряд'!$O$124*('Уравнения регрессии 1 ряд'!$M$106+'Уравнения регрессии 1 ряд'!$N$106*'Уравнения регрессии 1 ряд'!C96+'Уравнения регрессии 1 ряд'!$O$106*'Уравнения регрессии 1 ряд'!D96)</f>
        <v>1.2944690689771177</v>
      </c>
      <c r="D4">
        <f>'Исходные данные'!B3</f>
        <v>0.92200000000000004</v>
      </c>
    </row>
    <row r="5" spans="1:5" x14ac:dyDescent="0.25">
      <c r="A5">
        <v>3</v>
      </c>
      <c r="C5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ряд'!C43+'Уравнения регрессии 1 ряд'!$O$52*'Уравнения регрессии 1 ряд'!D43)+'Уравнения регрессии 2 ряд'!$O$124*('Уравнения регрессии 1 ряд'!$M$106+'Уравнения регрессии 1 ряд'!$N$106*'Уравнения регрессии 1 ряд'!C97+'Уравнения регрессии 1 ряд'!$O$106*'Уравнения регрессии 1 ряд'!D97)</f>
        <v>0.73145019582233561</v>
      </c>
      <c r="D5">
        <f>'Исходные данные'!B4</f>
        <v>0.76300000000000001</v>
      </c>
    </row>
    <row r="6" spans="1:5" x14ac:dyDescent="0.25">
      <c r="A6">
        <v>4</v>
      </c>
      <c r="C6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ряд'!C44+'Уравнения регрессии 1 ряд'!$O$52*'Уравнения регрессии 1 ряд'!D44)+'Уравнения регрессии 2 ряд'!$O$124*('Уравнения регрессии 1 ряд'!$M$106+'Уравнения регрессии 1 ряд'!$N$106*'Уравнения регрессии 1 ряд'!C98+'Уравнения регрессии 1 ряд'!$O$106*'Уравнения регрессии 1 ряд'!D98)</f>
        <v>1.2430980586671105</v>
      </c>
      <c r="D6">
        <f>'Исходные данные'!B5</f>
        <v>0.92300000000000004</v>
      </c>
    </row>
    <row r="7" spans="1:5" x14ac:dyDescent="0.25">
      <c r="A7">
        <v>5</v>
      </c>
      <c r="C7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ряд'!C45+'Уравнения регрессии 1 ряд'!$O$52*'Уравнения регрессии 1 ряд'!D45)+'Уравнения регрессии 2 ряд'!$O$124*('Уравнения регрессии 1 ряд'!$M$106+'Уравнения регрессии 1 ряд'!$N$106*'Уравнения регрессии 1 ряд'!C99+'Уравнения регрессии 1 ряд'!$O$106*'Уравнения регрессии 1 ряд'!D99)</f>
        <v>1.2140997836979521</v>
      </c>
      <c r="D7">
        <f>'Исходные данные'!B6</f>
        <v>0.91800000000000004</v>
      </c>
    </row>
    <row r="8" spans="1:5" x14ac:dyDescent="0.25">
      <c r="A8">
        <v>6</v>
      </c>
      <c r="C8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ряд'!C46+'Уравнения регрессии 1 ряд'!$O$52*'Уравнения регрессии 1 ряд'!D46)+'Уравнения регрессии 2 ряд'!$O$124*('Уравнения регрессии 1 ряд'!$M$106+'Уравнения регрессии 1 ряд'!$N$106*'Уравнения регрессии 1 ряд'!C100+'Уравнения регрессии 1 ряд'!$O$106*'Уравнения регрессии 1 ряд'!D100)</f>
        <v>1.2506465312621795</v>
      </c>
      <c r="D8">
        <f>'Исходные данные'!B7</f>
        <v>0.90600000000000003</v>
      </c>
    </row>
    <row r="9" spans="1:5" x14ac:dyDescent="0.25">
      <c r="A9">
        <v>7</v>
      </c>
      <c r="C9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ряд'!C47+'Уравнения регрессии 1 ряд'!$O$52*'Уравнения регрессии 1 ряд'!D47)+'Уравнения регрессии 2 ряд'!$O$124*('Уравнения регрессии 1 ряд'!$M$106+'Уравнения регрессии 1 ряд'!$N$106*'Уравнения регрессии 1 ряд'!C101+'Уравнения регрессии 1 ряд'!$O$106*'Уравнения регрессии 1 ряд'!D101)</f>
        <v>1.1677374358871393</v>
      </c>
      <c r="D9">
        <f>'Исходные данные'!B8</f>
        <v>0.90500000000000003</v>
      </c>
    </row>
    <row r="10" spans="1:5" x14ac:dyDescent="0.25">
      <c r="A10">
        <v>8</v>
      </c>
      <c r="C10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ряд'!C48+'Уравнения регрессии 1 ряд'!$O$52*'Уравнения регрессии 1 ряд'!D48)+'Уравнения регрессии 2 ряд'!$O$124*('Уравнения регрессии 1 ряд'!$M$106+'Уравнения регрессии 1 ряд'!$N$106*'Уравнения регрессии 1 ряд'!C102+'Уравнения регрессии 1 ряд'!$O$106*'Уравнения регрессии 1 ряд'!D102)</f>
        <v>0.47931622538434415</v>
      </c>
      <c r="D10">
        <f>'Исходные данные'!B9</f>
        <v>0.54500000000000004</v>
      </c>
    </row>
    <row r="11" spans="1:5" x14ac:dyDescent="0.25">
      <c r="A11">
        <v>9</v>
      </c>
      <c r="C11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ряд'!C49+'Уравнения регрессии 1 ряд'!$O$52*'Уравнения регрессии 1 ряд'!D49)+'Уравнения регрессии 2 ряд'!$O$124*('Уравнения регрессии 1 ряд'!$M$106+'Уравнения регрессии 1 ряд'!$N$106*'Уравнения регрессии 1 ряд'!C103+'Уравнения регрессии 1 ряд'!$O$106*'Уравнения регрессии 1 ряд'!D103)</f>
        <v>1.2849477726160257</v>
      </c>
      <c r="D11">
        <f>'Исходные данные'!B10</f>
        <v>0.89400000000000002</v>
      </c>
    </row>
    <row r="12" spans="1:5" x14ac:dyDescent="0.25">
      <c r="A12">
        <v>10</v>
      </c>
      <c r="C12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ряд'!C50+'Уравнения регрессии 1 ряд'!$O$52*'Уравнения регрессии 1 ряд'!D50)+'Уравнения регрессии 2 ряд'!$O$124*('Уравнения регрессии 1 ряд'!$M$106+'Уравнения регрессии 1 ряд'!$N$106*'Уравнения регрессии 1 ряд'!C104+'Уравнения регрессии 1 ряд'!$O$106*'Уравнения регрессии 1 ряд'!D104)</f>
        <v>1.296597850380345</v>
      </c>
      <c r="D12">
        <f>'Исходные данные'!B11</f>
        <v>0.9</v>
      </c>
    </row>
    <row r="13" spans="1:5" x14ac:dyDescent="0.25">
      <c r="A13">
        <v>11</v>
      </c>
      <c r="C13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ряд'!C51+'Уравнения регрессии 1 ряд'!$O$52*'Уравнения регрессии 1 ряд'!D51)+'Уравнения регрессии 2 ряд'!$O$124*('Уравнения регрессии 1 ряд'!$M$106+'Уравнения регрессии 1 ряд'!$N$106*'Уравнения регрессии 1 ряд'!C105+'Уравнения регрессии 1 ряд'!$O$106*'Уравнения регрессии 1 ряд'!D105)</f>
        <v>1.3608444037940504</v>
      </c>
      <c r="D13">
        <f>'Исходные данные'!B12</f>
        <v>0.93200000000000005</v>
      </c>
    </row>
    <row r="14" spans="1:5" x14ac:dyDescent="0.25">
      <c r="A14">
        <v>12</v>
      </c>
      <c r="C14">
        <f>'Уравнения регрессии 2 ряд'!$M$124+'Уравнения регрессии 2 ряд'!$N$124*('Уравнения регрессии 1 ряд'!$M$52+'Уравнения регрессии 1 ряд'!$N$52*'Уравнения регрессии 1 ряд'!C52+'Уравнения регрессии 1 ряд'!$O$52*'Уравнения регрессии 1 ряд'!D52)+'Уравнения регрессии 2 ряд'!$O$124*('Уравнения регрессии 1 ряд'!$M$106+'Уравнения регрессии 1 ряд'!$N$106*'Уравнения регрессии 1 ряд'!C106+'Уравнения регрессии 1 ряд'!$O$106*'Уравнения регрессии 1 ряд'!D106)</f>
        <v>0.68524628260474474</v>
      </c>
      <c r="D14">
        <f>'Исходные данные'!B13</f>
        <v>0.74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Исходные данные</vt:lpstr>
      <vt:lpstr>Уравнения регрессии 1 ряд</vt:lpstr>
      <vt:lpstr>Уравнения регрессии 2 ряд</vt:lpstr>
      <vt:lpstr>Итог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2025-10-01T14:01:38Z</dcterms:created>
  <dcterms:modified xsi:type="dcterms:W3CDTF">2025-10-01T18:10:09Z</dcterms:modified>
</cp:coreProperties>
</file>